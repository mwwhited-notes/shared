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e4f4520578ef2c/Documents/CPU Design/"/>
    </mc:Choice>
  </mc:AlternateContent>
  <xr:revisionPtr revIDLastSave="126" documentId="8_{B33C5994-3130-4FE0-8C9D-AD857C2B9C8E}" xr6:coauthVersionLast="46" xr6:coauthVersionMax="46" xr10:uidLastSave="{70AB68AE-056C-4F23-84E3-076D1357B2BF}"/>
  <bookViews>
    <workbookView xWindow="-28920" yWindow="-120" windowWidth="29040" windowHeight="15990" activeTab="1" xr2:uid="{30EAE969-9E0A-4A5C-B5BF-7ED3AD5557A1}"/>
  </bookViews>
  <sheets>
    <sheet name="Sheet1" sheetId="1" r:id="rId1"/>
    <sheet name="Sheet7" sheetId="7" r:id="rId2"/>
    <sheet name="Sheet3" sheetId="3" r:id="rId3"/>
    <sheet name="Sheet5" sheetId="5" r:id="rId4"/>
    <sheet name="Sheet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7" l="1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D4" i="7"/>
  <c r="C6" i="7"/>
  <c r="C5" i="7"/>
  <c r="I3" i="7"/>
  <c r="L3" i="7"/>
  <c r="T3" i="7"/>
  <c r="D3" i="7"/>
  <c r="B5" i="7"/>
  <c r="A6" i="7"/>
  <c r="A7" i="7" s="1"/>
  <c r="B7" i="7" s="1"/>
  <c r="D2" i="7"/>
  <c r="E1" i="7"/>
  <c r="F1" i="7" s="1"/>
  <c r="G1" i="7" s="1"/>
  <c r="H1" i="7" s="1"/>
  <c r="I1" i="7" s="1"/>
  <c r="J1" i="7" s="1"/>
  <c r="K1" i="7" s="1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X3" i="7" s="1"/>
  <c r="L4" i="5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1" i="6"/>
  <c r="B1" i="6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O14" i="5"/>
  <c r="A3" i="6"/>
  <c r="B3" i="6" s="1"/>
  <c r="B2" i="6"/>
  <c r="A2" i="6"/>
  <c r="P8" i="5"/>
  <c r="K6" i="5"/>
  <c r="J6" i="5"/>
  <c r="C15" i="5" s="1"/>
  <c r="P6" i="5"/>
  <c r="R6" i="5" s="1"/>
  <c r="S6" i="5" s="1"/>
  <c r="J5" i="5"/>
  <c r="R7" i="5"/>
  <c r="S7" i="5" s="1"/>
  <c r="R5" i="5"/>
  <c r="S5" i="5" s="1"/>
  <c r="R4" i="5"/>
  <c r="S4" i="5" s="1"/>
  <c r="R3" i="5"/>
  <c r="S3" i="5" s="1"/>
  <c r="R2" i="5"/>
  <c r="S2" i="5" s="1"/>
  <c r="L2" i="5"/>
  <c r="L3" i="5" s="1"/>
  <c r="K3" i="5" s="1"/>
  <c r="J4" i="5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B6" i="5"/>
  <c r="D6" i="5" s="1"/>
  <c r="E6" i="5" s="1"/>
  <c r="D5" i="5"/>
  <c r="E5" i="5" s="1"/>
  <c r="D4" i="5"/>
  <c r="E4" i="5" s="1"/>
  <c r="D3" i="5"/>
  <c r="E3" i="5" s="1"/>
  <c r="D2" i="5"/>
  <c r="E2" i="5" s="1"/>
  <c r="D5" i="3"/>
  <c r="E5" i="3" s="1"/>
  <c r="D10" i="3"/>
  <c r="E10" i="3" s="1"/>
  <c r="D9" i="3"/>
  <c r="E9" i="3" s="1"/>
  <c r="D8" i="3"/>
  <c r="E8" i="3" s="1"/>
  <c r="D7" i="3"/>
  <c r="E7" i="3" s="1"/>
  <c r="C16" i="3"/>
  <c r="D16" i="3" s="1"/>
  <c r="E16" i="3" s="1"/>
  <c r="C15" i="3"/>
  <c r="D15" i="3" s="1"/>
  <c r="E15" i="3" s="1"/>
  <c r="E12" i="3"/>
  <c r="D14" i="3"/>
  <c r="E14" i="3" s="1"/>
  <c r="D13" i="3"/>
  <c r="E13" i="3" s="1"/>
  <c r="D12" i="3"/>
  <c r="D11" i="3"/>
  <c r="E11" i="3" s="1"/>
  <c r="E4" i="3"/>
  <c r="E2" i="3"/>
  <c r="D6" i="3"/>
  <c r="E6" i="3" s="1"/>
  <c r="D4" i="3"/>
  <c r="D3" i="3"/>
  <c r="E3" i="3" s="1"/>
  <c r="D2" i="3"/>
  <c r="B6" i="3"/>
  <c r="K17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" i="1"/>
  <c r="I17" i="1"/>
  <c r="J16" i="1"/>
  <c r="J19" i="1" s="1"/>
  <c r="J20" i="1" s="1"/>
  <c r="AJ3" i="1"/>
  <c r="AJ2" i="1"/>
  <c r="I18" i="1"/>
  <c r="I10" i="1"/>
  <c r="I11" i="1" s="1"/>
  <c r="I13" i="1" s="1"/>
  <c r="I14" i="1" s="1"/>
  <c r="AF1" i="1"/>
  <c r="F2" i="1"/>
  <c r="F11" i="1"/>
  <c r="F12" i="1"/>
  <c r="F13" i="1"/>
  <c r="F14" i="1"/>
  <c r="F15" i="1"/>
  <c r="F16" i="1"/>
  <c r="F17" i="1"/>
  <c r="D9" i="1"/>
  <c r="D10" i="1" s="1"/>
  <c r="C9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E9" i="1"/>
  <c r="E10" i="1" s="1"/>
  <c r="D3" i="1"/>
  <c r="E3" i="1"/>
  <c r="C3" i="1"/>
  <c r="A8" i="1"/>
  <c r="A7" i="1"/>
  <c r="A6" i="1"/>
  <c r="A5" i="1"/>
  <c r="A4" i="1"/>
  <c r="A3" i="1"/>
  <c r="S3" i="7" l="1"/>
  <c r="K3" i="7"/>
  <c r="R3" i="7"/>
  <c r="J3" i="7"/>
  <c r="C7" i="7"/>
  <c r="H3" i="7"/>
  <c r="W3" i="7"/>
  <c r="O3" i="7"/>
  <c r="G3" i="7"/>
  <c r="V3" i="7"/>
  <c r="N3" i="7"/>
  <c r="F3" i="7"/>
  <c r="Q3" i="7"/>
  <c r="P3" i="7"/>
  <c r="U3" i="7"/>
  <c r="M3" i="7"/>
  <c r="E3" i="7"/>
  <c r="B6" i="7"/>
  <c r="A8" i="7"/>
  <c r="C8" i="7" s="1"/>
  <c r="V2" i="7"/>
  <c r="T2" i="7"/>
  <c r="N2" i="7"/>
  <c r="F2" i="7"/>
  <c r="S2" i="7"/>
  <c r="O2" i="7"/>
  <c r="K2" i="7"/>
  <c r="G2" i="7"/>
  <c r="W2" i="7"/>
  <c r="Y1" i="7"/>
  <c r="X2" i="7"/>
  <c r="L2" i="7"/>
  <c r="R2" i="7"/>
  <c r="J2" i="7"/>
  <c r="Q2" i="7"/>
  <c r="I2" i="7"/>
  <c r="P2" i="7"/>
  <c r="H2" i="7"/>
  <c r="U2" i="7"/>
  <c r="M2" i="7"/>
  <c r="E2" i="7"/>
  <c r="F4" i="1"/>
  <c r="K16" i="1"/>
  <c r="I19" i="1"/>
  <c r="A4" i="6"/>
  <c r="C16" i="5"/>
  <c r="D16" i="5" s="1"/>
  <c r="E16" i="5" s="1"/>
  <c r="D15" i="5"/>
  <c r="E15" i="5" s="1"/>
  <c r="G1" i="5" s="1"/>
  <c r="G2" i="5" s="1"/>
  <c r="K5" i="5"/>
  <c r="K4" i="5"/>
  <c r="Q8" i="5"/>
  <c r="R8" i="5" s="1"/>
  <c r="S8" i="5" s="1"/>
  <c r="U1" i="5" s="1"/>
  <c r="U2" i="5" s="1"/>
  <c r="G1" i="3"/>
  <c r="G2" i="3" s="1"/>
  <c r="F8" i="1"/>
  <c r="F9" i="1"/>
  <c r="F5" i="1"/>
  <c r="F6" i="1"/>
  <c r="F3" i="1"/>
  <c r="F7" i="1"/>
  <c r="C10" i="1"/>
  <c r="Y2" i="7" l="1"/>
  <c r="Y3" i="7"/>
  <c r="B8" i="7"/>
  <c r="A9" i="7"/>
  <c r="C9" i="7" s="1"/>
  <c r="Z1" i="7"/>
  <c r="F10" i="1"/>
  <c r="B4" i="6"/>
  <c r="A5" i="6"/>
  <c r="Z2" i="7" l="1"/>
  <c r="Z3" i="7"/>
  <c r="B9" i="7"/>
  <c r="A10" i="7"/>
  <c r="C10" i="7" s="1"/>
  <c r="AA1" i="7"/>
  <c r="B5" i="6"/>
  <c r="A6" i="6"/>
  <c r="AA2" i="7" l="1"/>
  <c r="AA3" i="7"/>
  <c r="A11" i="7"/>
  <c r="C11" i="7" s="1"/>
  <c r="B10" i="7"/>
  <c r="AB1" i="7"/>
  <c r="A7" i="6"/>
  <c r="B6" i="6"/>
  <c r="AB2" i="7" l="1"/>
  <c r="AB3" i="7"/>
  <c r="B11" i="7"/>
  <c r="A12" i="7"/>
  <c r="C12" i="7" s="1"/>
  <c r="AC1" i="7"/>
  <c r="B7" i="6"/>
  <c r="A8" i="6"/>
  <c r="AC2" i="7" l="1"/>
  <c r="AC3" i="7"/>
  <c r="B12" i="7"/>
  <c r="A13" i="7"/>
  <c r="C13" i="7" s="1"/>
  <c r="AD1" i="7"/>
  <c r="B8" i="6"/>
  <c r="A9" i="6"/>
  <c r="AD2" i="7" l="1"/>
  <c r="AD3" i="7"/>
  <c r="AE1" i="7"/>
  <c r="B13" i="7"/>
  <c r="A14" i="7"/>
  <c r="C14" i="7" s="1"/>
  <c r="AF1" i="7"/>
  <c r="A10" i="6"/>
  <c r="B9" i="6"/>
  <c r="AF2" i="7" l="1"/>
  <c r="AF3" i="7"/>
  <c r="AE2" i="7"/>
  <c r="AE3" i="7"/>
  <c r="A15" i="7"/>
  <c r="C15" i="7" s="1"/>
  <c r="B14" i="7"/>
  <c r="AG1" i="7"/>
  <c r="A11" i="6"/>
  <c r="B10" i="6"/>
  <c r="AG2" i="7" l="1"/>
  <c r="AG3" i="7"/>
  <c r="B15" i="7"/>
  <c r="A16" i="7"/>
  <c r="C16" i="7" s="1"/>
  <c r="AH1" i="7"/>
  <c r="B11" i="6"/>
  <c r="A12" i="6"/>
  <c r="AH2" i="7" l="1"/>
  <c r="AH3" i="7"/>
  <c r="B16" i="7"/>
  <c r="A17" i="7"/>
  <c r="C17" i="7" s="1"/>
  <c r="AI1" i="7"/>
  <c r="B12" i="6"/>
  <c r="A13" i="6"/>
  <c r="AI2" i="7" l="1"/>
  <c r="AI3" i="7"/>
  <c r="B17" i="7"/>
  <c r="A18" i="7"/>
  <c r="C18" i="7" s="1"/>
  <c r="AJ1" i="7"/>
  <c r="B13" i="6"/>
  <c r="A14" i="6"/>
  <c r="AJ2" i="7" l="1"/>
  <c r="AJ3" i="7"/>
  <c r="A19" i="7"/>
  <c r="C19" i="7" s="1"/>
  <c r="B18" i="7"/>
  <c r="AK1" i="7"/>
  <c r="A15" i="6"/>
  <c r="B14" i="6"/>
  <c r="AK2" i="7" l="1"/>
  <c r="AK3" i="7"/>
  <c r="B19" i="7"/>
  <c r="A20" i="7"/>
  <c r="C20" i="7" s="1"/>
  <c r="AL1" i="7"/>
  <c r="B15" i="6"/>
  <c r="A16" i="6"/>
  <c r="AL2" i="7" l="1"/>
  <c r="AL3" i="7"/>
  <c r="B20" i="7"/>
  <c r="A21" i="7"/>
  <c r="C21" i="7" s="1"/>
  <c r="AM1" i="7"/>
  <c r="AM3" i="7" s="1"/>
  <c r="A17" i="6"/>
  <c r="B16" i="6"/>
  <c r="AM2" i="7" l="1"/>
  <c r="AN1" i="7"/>
  <c r="AN3" i="7" s="1"/>
  <c r="B21" i="7"/>
  <c r="A22" i="7"/>
  <c r="C22" i="7" s="1"/>
  <c r="B17" i="6"/>
  <c r="A18" i="6"/>
  <c r="AN2" i="7" l="1"/>
  <c r="AO1" i="7"/>
  <c r="AO3" i="7" s="1"/>
  <c r="A23" i="7"/>
  <c r="C23" i="7" s="1"/>
  <c r="B22" i="7"/>
  <c r="A19" i="6"/>
  <c r="B18" i="6"/>
  <c r="AP1" i="7" l="1"/>
  <c r="AP3" i="7" s="1"/>
  <c r="AO2" i="7"/>
  <c r="B23" i="7"/>
  <c r="A24" i="7"/>
  <c r="C24" i="7" s="1"/>
  <c r="B19" i="6"/>
  <c r="A20" i="6"/>
  <c r="AQ1" i="7" l="1"/>
  <c r="AP2" i="7"/>
  <c r="B24" i="7"/>
  <c r="A25" i="7"/>
  <c r="C25" i="7" s="1"/>
  <c r="B20" i="6"/>
  <c r="A21" i="6"/>
  <c r="AQ2" i="7" l="1"/>
  <c r="AQ3" i="7"/>
  <c r="B25" i="7"/>
  <c r="A26" i="7"/>
  <c r="C26" i="7" s="1"/>
  <c r="A22" i="6"/>
  <c r="B21" i="6"/>
  <c r="A27" i="7" l="1"/>
  <c r="C27" i="7" s="1"/>
  <c r="B26" i="7"/>
  <c r="A23" i="6"/>
  <c r="B22" i="6"/>
  <c r="B27" i="7" l="1"/>
  <c r="A28" i="7"/>
  <c r="C28" i="7" s="1"/>
  <c r="B23" i="6"/>
  <c r="A24" i="6"/>
  <c r="B28" i="7" l="1"/>
  <c r="A29" i="7"/>
  <c r="C29" i="7" s="1"/>
  <c r="B24" i="6"/>
  <c r="A25" i="6"/>
  <c r="B29" i="7" l="1"/>
  <c r="A30" i="7"/>
  <c r="C30" i="7" s="1"/>
  <c r="B25" i="6"/>
  <c r="A26" i="6"/>
  <c r="A31" i="7" l="1"/>
  <c r="C31" i="7" s="1"/>
  <c r="B30" i="7"/>
  <c r="A27" i="6"/>
  <c r="B26" i="6"/>
  <c r="B31" i="7" l="1"/>
  <c r="A32" i="7"/>
  <c r="C32" i="7" s="1"/>
  <c r="B27" i="6"/>
  <c r="A28" i="6"/>
  <c r="B32" i="7" l="1"/>
  <c r="A33" i="7"/>
  <c r="C33" i="7" s="1"/>
  <c r="B28" i="6"/>
  <c r="A29" i="6"/>
  <c r="B33" i="7" l="1"/>
  <c r="A34" i="7"/>
  <c r="C34" i="7" s="1"/>
  <c r="B29" i="6"/>
  <c r="A30" i="6"/>
  <c r="A35" i="7" l="1"/>
  <c r="C35" i="7" s="1"/>
  <c r="B34" i="7"/>
  <c r="A31" i="6"/>
  <c r="B30" i="6"/>
  <c r="B35" i="7" l="1"/>
  <c r="A36" i="7"/>
  <c r="C36" i="7" s="1"/>
  <c r="B31" i="6"/>
  <c r="A32" i="6"/>
  <c r="B36" i="7" l="1"/>
  <c r="A37" i="7"/>
  <c r="C37" i="7" s="1"/>
  <c r="B32" i="6"/>
  <c r="A33" i="6"/>
  <c r="B37" i="7" l="1"/>
  <c r="A38" i="7"/>
  <c r="B33" i="6"/>
  <c r="A34" i="6"/>
  <c r="B38" i="7" l="1"/>
  <c r="C38" i="7"/>
  <c r="A35" i="6"/>
  <c r="B34" i="6"/>
  <c r="B35" i="6" l="1"/>
  <c r="A36" i="6"/>
  <c r="B36" i="6" l="1"/>
  <c r="A37" i="6"/>
  <c r="A38" i="6" l="1"/>
  <c r="B37" i="6"/>
  <c r="A39" i="6" l="1"/>
  <c r="B38" i="6"/>
  <c r="B39" i="6" l="1"/>
  <c r="A40" i="6"/>
  <c r="B40" i="6" l="1"/>
  <c r="A41" i="6"/>
  <c r="B41" i="6" l="1"/>
  <c r="A42" i="6"/>
  <c r="A43" i="6" l="1"/>
  <c r="B42" i="6"/>
  <c r="B43" i="6" l="1"/>
  <c r="A44" i="6"/>
  <c r="A45" i="6" l="1"/>
  <c r="B44" i="6"/>
  <c r="B45" i="6" l="1"/>
  <c r="A46" i="6"/>
  <c r="A47" i="6" l="1"/>
  <c r="B46" i="6"/>
  <c r="B47" i="6" l="1"/>
  <c r="A48" i="6"/>
  <c r="B48" i="6" l="1"/>
  <c r="A49" i="6"/>
  <c r="A50" i="6" l="1"/>
  <c r="B49" i="6"/>
  <c r="A51" i="6" l="1"/>
  <c r="B50" i="6"/>
  <c r="B51" i="6" l="1"/>
  <c r="A52" i="6"/>
  <c r="B52" i="6" l="1"/>
  <c r="A53" i="6"/>
  <c r="B53" i="6" l="1"/>
  <c r="A54" i="6"/>
  <c r="A55" i="6" l="1"/>
  <c r="B54" i="6"/>
  <c r="B55" i="6" l="1"/>
  <c r="A56" i="6"/>
  <c r="B56" i="6" l="1"/>
  <c r="A57" i="6"/>
  <c r="A58" i="6" l="1"/>
  <c r="B57" i="6"/>
  <c r="A59" i="6" l="1"/>
  <c r="B58" i="6"/>
  <c r="B59" i="6" l="1"/>
  <c r="A60" i="6"/>
  <c r="B60" i="6" l="1"/>
  <c r="A61" i="6"/>
  <c r="B61" i="6" l="1"/>
  <c r="A62" i="6"/>
  <c r="A63" i="6" l="1"/>
  <c r="B62" i="6"/>
  <c r="B63" i="6" l="1"/>
  <c r="A64" i="6"/>
  <c r="B64" i="6" l="1"/>
  <c r="A65" i="6"/>
  <c r="B65" i="6" l="1"/>
  <c r="A66" i="6"/>
  <c r="A67" i="6" l="1"/>
  <c r="B66" i="6"/>
  <c r="B67" i="6" l="1"/>
  <c r="A68" i="6"/>
  <c r="B68" i="6" l="1"/>
  <c r="A69" i="6"/>
  <c r="A70" i="6" l="1"/>
  <c r="B69" i="6"/>
  <c r="A71" i="6" l="1"/>
  <c r="B70" i="6"/>
  <c r="B71" i="6" l="1"/>
  <c r="A72" i="6"/>
  <c r="A73" i="6" l="1"/>
  <c r="B72" i="6"/>
  <c r="B73" i="6" l="1"/>
  <c r="A74" i="6"/>
  <c r="A75" i="6" l="1"/>
  <c r="B74" i="6"/>
  <c r="B75" i="6" l="1"/>
  <c r="A76" i="6"/>
  <c r="B76" i="6" l="1"/>
  <c r="A77" i="6"/>
  <c r="A78" i="6" l="1"/>
  <c r="B77" i="6"/>
  <c r="A79" i="6" l="1"/>
  <c r="B79" i="6" s="1"/>
  <c r="B78" i="6"/>
</calcChain>
</file>

<file path=xl/sharedStrings.xml><?xml version="1.0" encoding="utf-8"?>
<sst xmlns="http://schemas.openxmlformats.org/spreadsheetml/2006/main" count="151" uniqueCount="75">
  <si>
    <t>Black</t>
  </si>
  <si>
    <t>Red</t>
  </si>
  <si>
    <t>Yellow</t>
  </si>
  <si>
    <t xml:space="preserve">Green </t>
  </si>
  <si>
    <t>Blue</t>
  </si>
  <si>
    <t>Grey</t>
  </si>
  <si>
    <t>Colors</t>
  </si>
  <si>
    <t>Cyan</t>
  </si>
  <si>
    <t>R</t>
  </si>
  <si>
    <t>G</t>
  </si>
  <si>
    <t>B</t>
  </si>
  <si>
    <t>Magenta</t>
  </si>
  <si>
    <t xml:space="preserve"> White</t>
  </si>
  <si>
    <t>A</t>
  </si>
  <si>
    <t>C</t>
  </si>
  <si>
    <t>D</t>
  </si>
  <si>
    <t>E</t>
  </si>
  <si>
    <t>F</t>
  </si>
  <si>
    <t>Dark Grey</t>
  </si>
  <si>
    <t>Column1</t>
  </si>
  <si>
    <t>Value</t>
  </si>
  <si>
    <t>RGB</t>
  </si>
  <si>
    <t>Char</t>
  </si>
  <si>
    <t>Col</t>
  </si>
  <si>
    <t>X</t>
  </si>
  <si>
    <t>Fore</t>
  </si>
  <si>
    <t>Back</t>
  </si>
  <si>
    <t>Normal</t>
  </si>
  <si>
    <t>Blink</t>
  </si>
  <si>
    <t>Intense</t>
  </si>
  <si>
    <t>Invert</t>
  </si>
  <si>
    <t>Character</t>
  </si>
  <si>
    <t>rows</t>
  </si>
  <si>
    <t>cols</t>
  </si>
  <si>
    <t>chars</t>
  </si>
  <si>
    <t>bits</t>
  </si>
  <si>
    <t>bit per char</t>
  </si>
  <si>
    <t>total bits</t>
  </si>
  <si>
    <t>total bytes</t>
  </si>
  <si>
    <t>rrrrggggbbbb</t>
  </si>
  <si>
    <t>1XXX</t>
  </si>
  <si>
    <t>there XXX is index for blink color</t>
  </si>
  <si>
    <t>0000</t>
  </si>
  <si>
    <t>blink is mated pair</t>
  </si>
  <si>
    <t>0111</t>
  </si>
  <si>
    <t>Blink to Index</t>
  </si>
  <si>
    <t>Blink to Mate</t>
  </si>
  <si>
    <t>Blink Pattern</t>
  </si>
  <si>
    <t>Blink to Palette</t>
  </si>
  <si>
    <t>quantity</t>
  </si>
  <si>
    <t>X Position</t>
  </si>
  <si>
    <t>Y Postion</t>
  </si>
  <si>
    <t>Status</t>
  </si>
  <si>
    <t>Total Bits</t>
  </si>
  <si>
    <t>Bytes</t>
  </si>
  <si>
    <t>Character Map</t>
  </si>
  <si>
    <t>Palette 1</t>
  </si>
  <si>
    <t>Palette 2</t>
  </si>
  <si>
    <t>Palette 0</t>
  </si>
  <si>
    <t>Palette 3</t>
  </si>
  <si>
    <t>kBytes</t>
  </si>
  <si>
    <t>Character Page 0</t>
  </si>
  <si>
    <t>Character Page 1</t>
  </si>
  <si>
    <t>Blinking 0</t>
  </si>
  <si>
    <t>Blinking 1</t>
  </si>
  <si>
    <t>Blinking 2</t>
  </si>
  <si>
    <t>Blinking 3</t>
  </si>
  <si>
    <t>00000000</t>
  </si>
  <si>
    <t>00001111</t>
  </si>
  <si>
    <t>00110011</t>
  </si>
  <si>
    <t>01010101</t>
  </si>
  <si>
    <t>XXXXXXBP</t>
  </si>
  <si>
    <t>Universe Color</t>
  </si>
  <si>
    <t>????RRRRGGGGBBBB</t>
  </si>
  <si>
    <t>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</si>
</sst>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1"/>
    <xf numFmtId="0" fontId="2" fillId="3" borderId="1" xfId="2"/>
    <xf numFmtId="0" fontId="0" fillId="0" borderId="0" xfId="0" quotePrefix="1"/>
    <xf numFmtId="0" fontId="0" fillId="0" borderId="0" xfId="0" applyAlignment="1">
      <alignment horizontal="center" textRotation="135"/>
    </xf>
    <xf numFmtId="0" fontId="0" fillId="0" borderId="0" xfId="0" applyAlignment="1">
      <alignment horizontal="center" vertical="center" textRotation="135"/>
    </xf>
    <xf numFmtId="0" fontId="0" fillId="0" borderId="0" xfId="0" applyAlignment="1">
      <alignment horizontal="center" vertical="center"/>
    </xf>
  </cellXfs>
  <cellStyles count="3">
    <cellStyle name="Calculation" xfId="2" builtinId="22"/>
    <cellStyle name="Input" xfId="1" builtinId="20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399065-0299-45B5-A2A7-99D2F5A65C7E}" name="Table1" displayName="Table1" ref="A1:G17" totalsRowShown="0">
  <autoFilter ref="A1:G17" xr:uid="{F8A66C86-DECF-4C67-B09C-ED320EAC138A}"/>
  <tableColumns count="7">
    <tableColumn id="1" xr3:uid="{BB5E62BE-C0A6-479B-AC95-66640E9AAB49}" name="Colors"/>
    <tableColumn id="2" xr3:uid="{ABD90879-6D20-4BF4-9C59-3969FD6A5169}" name="Value"/>
    <tableColumn id="3" xr3:uid="{8C4D79C3-95B4-4201-82B9-0A31FDDE65AD}" name="R"/>
    <tableColumn id="4" xr3:uid="{D0426228-008E-49EE-A59D-17F303A97EE0}" name="G"/>
    <tableColumn id="5" xr3:uid="{FCDEDBBA-72CD-486E-9001-2110526E05CB}" name="B"/>
    <tableColumn id="6" xr3:uid="{EA405768-4A0E-4C3C-8EB1-228E25D9B90C}" name="RGB" dataDxfId="1">
      <calculatedColumnFormula>"4'h"&amp;B2&amp;" : "&amp;"12'h"&amp;Table1[[#This Row],[R]]&amp;Table1[[#This Row],[G]]&amp;Table1[[#This Row],[B]]</calculatedColumnFormula>
    </tableColumn>
    <tableColumn id="7" xr3:uid="{B199713A-2FD1-4371-A039-FB7C4EDA79B7}" name="Column1" dataDxfId="0">
      <calculatedColumnFormula>"ColorPalette["&amp;HEX2DEC(Table1[[#This Row],[Value]])&amp;"] &lt;= 12'h"&amp;Table1[[#This Row],[R]]&amp;Table1[[#This Row],[G]]&amp;Table1[[#This Row],[B]]&amp;";"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6465-CDB7-414F-8B3E-AB967DA04837}">
  <dimension ref="A1:AM20"/>
  <sheetViews>
    <sheetView topLeftCell="B1" workbookViewId="0">
      <selection activeCell="B12" sqref="B12"/>
    </sheetView>
  </sheetViews>
  <sheetFormatPr defaultRowHeight="15" x14ac:dyDescent="0.25"/>
  <cols>
    <col min="1" max="1" width="13.28515625" bestFit="1" customWidth="1"/>
    <col min="2" max="2" width="8.42578125" bestFit="1" customWidth="1"/>
    <col min="3" max="3" width="4.42578125" bestFit="1" customWidth="1"/>
    <col min="4" max="4" width="4.7109375" bestFit="1" customWidth="1"/>
    <col min="5" max="5" width="4.42578125" bestFit="1" customWidth="1"/>
    <col min="6" max="7" width="13.5703125" bestFit="1" customWidth="1"/>
    <col min="8" max="8" width="13.5703125" customWidth="1"/>
    <col min="9" max="9" width="7" bestFit="1" customWidth="1"/>
    <col min="10" max="10" width="11" bestFit="1" customWidth="1"/>
    <col min="11" max="12" width="5" bestFit="1" customWidth="1"/>
    <col min="14" max="14" width="2.140625" bestFit="1" customWidth="1"/>
    <col min="15" max="15" width="7.7109375" bestFit="1" customWidth="1"/>
    <col min="16" max="16" width="2.140625" bestFit="1" customWidth="1"/>
    <col min="17" max="17" width="2.28515625" bestFit="1" customWidth="1"/>
    <col min="18" max="19" width="2.140625" bestFit="1" customWidth="1"/>
    <col min="20" max="20" width="2.28515625" bestFit="1" customWidth="1"/>
    <col min="21" max="29" width="2.140625" bestFit="1" customWidth="1"/>
    <col min="35" max="35" width="30.42578125" bestFit="1" customWidth="1"/>
    <col min="39" max="39" width="12.7109375" bestFit="1" customWidth="1"/>
  </cols>
  <sheetData>
    <row r="1" spans="1:39" x14ac:dyDescent="0.25">
      <c r="A1" t="s">
        <v>6</v>
      </c>
      <c r="B1" t="s">
        <v>20</v>
      </c>
      <c r="C1" t="s">
        <v>8</v>
      </c>
      <c r="D1" t="s">
        <v>9</v>
      </c>
      <c r="E1" t="s">
        <v>10</v>
      </c>
      <c r="F1" t="s">
        <v>21</v>
      </c>
      <c r="G1" t="s">
        <v>19</v>
      </c>
      <c r="AF1">
        <f>SUM(AE:AE)</f>
        <v>33</v>
      </c>
      <c r="AL1" t="str">
        <f>DEC2BIN(ROW()-1,4)</f>
        <v>0000</v>
      </c>
      <c r="AM1" t="s">
        <v>27</v>
      </c>
    </row>
    <row r="2" spans="1:39" x14ac:dyDescent="0.25">
      <c r="A2" t="s">
        <v>0</v>
      </c>
      <c r="B2">
        <v>0</v>
      </c>
      <c r="C2">
        <v>0</v>
      </c>
      <c r="D2">
        <v>0</v>
      </c>
      <c r="E2">
        <v>0</v>
      </c>
      <c r="F2" t="str">
        <f>"4'h"&amp;B2&amp;" : "&amp;"12'h"&amp;Table1[[#This Row],[R]]&amp;Table1[[#This Row],[G]]&amp;Table1[[#This Row],[B]]</f>
        <v>4'h0 : 12'h000</v>
      </c>
      <c r="G2" t="str">
        <f>"ColorPalette["&amp;HEX2DEC(Table1[[#This Row],[Value]])&amp;"] &lt;= 12'h"&amp;Table1[[#This Row],[R]]&amp;Table1[[#This Row],[G]]&amp;Table1[[#This Row],[B]]&amp;";"</f>
        <v>ColorPalette[0] &lt;= 12'h000;</v>
      </c>
      <c r="K2" t="s">
        <v>23</v>
      </c>
      <c r="L2" t="s">
        <v>22</v>
      </c>
      <c r="P2" s="1" t="s">
        <v>26</v>
      </c>
      <c r="Q2" s="1"/>
      <c r="R2" s="1"/>
      <c r="S2" s="1" t="s">
        <v>25</v>
      </c>
      <c r="T2" s="1"/>
      <c r="U2" s="1"/>
      <c r="V2" s="1" t="s">
        <v>31</v>
      </c>
      <c r="W2" s="1"/>
      <c r="X2" s="1"/>
      <c r="Y2" s="1"/>
      <c r="Z2" s="1"/>
      <c r="AA2" s="1"/>
      <c r="AB2" s="1"/>
      <c r="AC2" s="1"/>
      <c r="AE2">
        <v>12</v>
      </c>
      <c r="AH2">
        <v>8</v>
      </c>
      <c r="AI2">
        <v>4</v>
      </c>
      <c r="AJ2">
        <f>AH2*AI2</f>
        <v>32</v>
      </c>
      <c r="AL2" t="str">
        <f t="shared" ref="AL2:AL18" si="0">DEC2BIN(ROW()-1,4)</f>
        <v>0001</v>
      </c>
      <c r="AM2" s="7" t="s">
        <v>47</v>
      </c>
    </row>
    <row r="3" spans="1:39" x14ac:dyDescent="0.25">
      <c r="A3" t="str">
        <f>"Dark "&amp;A11</f>
        <v>Dark Blue</v>
      </c>
      <c r="B3">
        <v>1</v>
      </c>
      <c r="C3" t="str">
        <f>DEC2HEX(INT(2/3*HEX2DEC(C11)))</f>
        <v>0</v>
      </c>
      <c r="D3" t="str">
        <f t="shared" ref="D3:E3" si="1">DEC2HEX(INT(2/3*HEX2DEC(D11)))</f>
        <v>0</v>
      </c>
      <c r="E3" t="str">
        <f t="shared" si="1"/>
        <v>A</v>
      </c>
      <c r="F3" t="str">
        <f>"4'h"&amp;B3&amp;" : "&amp;"12'h"&amp;Table1[[#This Row],[R]]&amp;Table1[[#This Row],[G]]&amp;Table1[[#This Row],[B]]</f>
        <v>4'h1 : 12'h00A</v>
      </c>
      <c r="G3" t="str">
        <f>"ColorPalette["&amp;HEX2DEC(Table1[[#This Row],[Value]])&amp;"] &lt;= 12'h"&amp;Table1[[#This Row],[R]]&amp;Table1[[#This Row],[G]]&amp;Table1[[#This Row],[B]]&amp;";"</f>
        <v>ColorPalette[1] &lt;= 12'h00A;</v>
      </c>
      <c r="P3" t="s">
        <v>8</v>
      </c>
      <c r="Q3" t="s">
        <v>9</v>
      </c>
      <c r="R3" t="s">
        <v>10</v>
      </c>
      <c r="S3" t="s">
        <v>8</v>
      </c>
      <c r="T3" t="s">
        <v>9</v>
      </c>
      <c r="U3" t="s">
        <v>10</v>
      </c>
      <c r="V3" s="1"/>
      <c r="W3" s="1"/>
      <c r="X3" s="1"/>
      <c r="Y3" s="1"/>
      <c r="Z3" s="1"/>
      <c r="AA3" s="1"/>
      <c r="AB3" s="1"/>
      <c r="AC3" s="1"/>
      <c r="AE3">
        <v>12</v>
      </c>
      <c r="AH3">
        <v>4</v>
      </c>
      <c r="AI3">
        <v>16</v>
      </c>
      <c r="AJ3">
        <f>AH3*AI3</f>
        <v>64</v>
      </c>
      <c r="AL3" t="str">
        <f t="shared" si="0"/>
        <v>0010</v>
      </c>
      <c r="AM3" s="7"/>
    </row>
    <row r="4" spans="1:39" x14ac:dyDescent="0.25">
      <c r="A4" t="str">
        <f>"Dark "&amp;A12</f>
        <v>Dark Red</v>
      </c>
      <c r="B4">
        <v>2</v>
      </c>
      <c r="C4" t="str">
        <f t="shared" ref="C4:E4" si="2">DEC2HEX(INT(2/3*HEX2DEC(C12)))</f>
        <v>A</v>
      </c>
      <c r="D4" t="str">
        <f t="shared" si="2"/>
        <v>0</v>
      </c>
      <c r="E4" t="str">
        <f t="shared" si="2"/>
        <v>0</v>
      </c>
      <c r="F4" t="str">
        <f>"4'h"&amp;B4&amp;" : "&amp;"12'h"&amp;Table1[[#This Row],[R]]&amp;Table1[[#This Row],[G]]&amp;Table1[[#This Row],[B]]</f>
        <v>4'h2 : 12'hA00</v>
      </c>
      <c r="G4" t="str">
        <f>"ColorPalette["&amp;HEX2DEC(Table1[[#This Row],[Value]])&amp;"] &lt;= 12'h"&amp;Table1[[#This Row],[R]]&amp;Table1[[#This Row],[G]]&amp;Table1[[#This Row],[B]]&amp;";"</f>
        <v>ColorPalette[2] &lt;= 12'hA00;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14</v>
      </c>
      <c r="W4" t="s">
        <v>14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14</v>
      </c>
      <c r="AE4">
        <v>8</v>
      </c>
      <c r="AL4" t="str">
        <f t="shared" si="0"/>
        <v>0011</v>
      </c>
      <c r="AM4" t="s">
        <v>46</v>
      </c>
    </row>
    <row r="5" spans="1:39" ht="15" customHeight="1" x14ac:dyDescent="0.25">
      <c r="A5" t="str">
        <f>"Dark "&amp;A13</f>
        <v>Dark Magenta</v>
      </c>
      <c r="B5">
        <v>3</v>
      </c>
      <c r="C5" t="str">
        <f t="shared" ref="C5:E5" si="3">DEC2HEX(INT(2/3*HEX2DEC(C13)))</f>
        <v>A</v>
      </c>
      <c r="D5" t="str">
        <f t="shared" si="3"/>
        <v>0</v>
      </c>
      <c r="E5" t="str">
        <f t="shared" si="3"/>
        <v>A</v>
      </c>
      <c r="F5" t="str">
        <f>"4'h"&amp;B5&amp;" : "&amp;"12'h"&amp;Table1[[#This Row],[R]]&amp;Table1[[#This Row],[G]]&amp;Table1[[#This Row],[B]]</f>
        <v>4'h3 : 12'hA0A</v>
      </c>
      <c r="G5" t="str">
        <f>"ColorPalette["&amp;HEX2DEC(Table1[[#This Row],[Value]])&amp;"] &lt;= 12'h"&amp;Table1[[#This Row],[R]]&amp;Table1[[#This Row],[G]]&amp;Table1[[#This Row],[B]]&amp;";"</f>
        <v>ColorPalette[3] &lt;= 12'hA0A;</v>
      </c>
      <c r="AE5">
        <v>1</v>
      </c>
      <c r="AL5" t="str">
        <f t="shared" si="0"/>
        <v>0100</v>
      </c>
    </row>
    <row r="6" spans="1:39" x14ac:dyDescent="0.25">
      <c r="A6" t="str">
        <f>"Dark "&amp;A14</f>
        <v xml:space="preserve">Dark Green </v>
      </c>
      <c r="B6">
        <v>4</v>
      </c>
      <c r="C6" t="str">
        <f t="shared" ref="C6:E6" si="4">DEC2HEX(INT(2/3*HEX2DEC(C14)))</f>
        <v>0</v>
      </c>
      <c r="D6" t="str">
        <f t="shared" si="4"/>
        <v>A</v>
      </c>
      <c r="E6" t="str">
        <f t="shared" si="4"/>
        <v>0</v>
      </c>
      <c r="F6" t="str">
        <f>"4'h"&amp;B6&amp;" : "&amp;"12'h"&amp;Table1[[#This Row],[R]]&amp;Table1[[#This Row],[G]]&amp;Table1[[#This Row],[B]]</f>
        <v>4'h4 : 12'h0A0</v>
      </c>
      <c r="G6" t="str">
        <f>"ColorPalette["&amp;HEX2DEC(Table1[[#This Row],[Value]])&amp;"] &lt;= 12'h"&amp;Table1[[#This Row],[R]]&amp;Table1[[#This Row],[G]]&amp;Table1[[#This Row],[B]]&amp;";"</f>
        <v>ColorPalette[4] &lt;= 12'h0A0;</v>
      </c>
      <c r="O6" t="s">
        <v>27</v>
      </c>
      <c r="AL6" t="str">
        <f t="shared" si="0"/>
        <v>0101</v>
      </c>
      <c r="AM6" s="5" t="s">
        <v>48</v>
      </c>
    </row>
    <row r="7" spans="1:39" x14ac:dyDescent="0.25">
      <c r="A7" t="str">
        <f>"Dark "&amp;A15</f>
        <v>Dark Cyan</v>
      </c>
      <c r="B7">
        <v>5</v>
      </c>
      <c r="C7" t="str">
        <f t="shared" ref="C7:E7" si="5">DEC2HEX(INT(2/3*HEX2DEC(C15)))</f>
        <v>0</v>
      </c>
      <c r="D7" t="str">
        <f t="shared" si="5"/>
        <v>A</v>
      </c>
      <c r="E7" t="str">
        <f t="shared" si="5"/>
        <v>A</v>
      </c>
      <c r="F7" t="str">
        <f>"4'h"&amp;B7&amp;" : "&amp;"12'h"&amp;Table1[[#This Row],[R]]&amp;Table1[[#This Row],[G]]&amp;Table1[[#This Row],[B]]</f>
        <v>4'h5 : 12'h0AA</v>
      </c>
      <c r="G7" t="str">
        <f>"ColorPalette["&amp;HEX2DEC(Table1[[#This Row],[Value]])&amp;"] &lt;= 12'h"&amp;Table1[[#This Row],[R]]&amp;Table1[[#This Row],[G]]&amp;Table1[[#This Row],[B]]&amp;";"</f>
        <v>ColorPalette[5] &lt;= 12'h0AA;</v>
      </c>
      <c r="O7" t="s">
        <v>28</v>
      </c>
      <c r="AL7" t="str">
        <f t="shared" si="0"/>
        <v>0110</v>
      </c>
      <c r="AM7" s="5"/>
    </row>
    <row r="8" spans="1:39" x14ac:dyDescent="0.25">
      <c r="A8" t="str">
        <f>"Dark "&amp;A16</f>
        <v>Dark Yellow</v>
      </c>
      <c r="B8">
        <v>6</v>
      </c>
      <c r="C8" t="str">
        <f t="shared" ref="C8:E8" si="6">DEC2HEX(INT(2/3*HEX2DEC(C16)))</f>
        <v>A</v>
      </c>
      <c r="D8" t="str">
        <f t="shared" si="6"/>
        <v>A</v>
      </c>
      <c r="E8" t="str">
        <f t="shared" si="6"/>
        <v>0</v>
      </c>
      <c r="F8" t="str">
        <f>"4'h"&amp;B8&amp;" : "&amp;"12'h"&amp;Table1[[#This Row],[R]]&amp;Table1[[#This Row],[G]]&amp;Table1[[#This Row],[B]]</f>
        <v>4'h6 : 12'hAA0</v>
      </c>
      <c r="G8" t="str">
        <f>"ColorPalette["&amp;HEX2DEC(Table1[[#This Row],[Value]])&amp;"] &lt;= 12'h"&amp;Table1[[#This Row],[R]]&amp;Table1[[#This Row],[G]]&amp;Table1[[#This Row],[B]]&amp;";"</f>
        <v>ColorPalette[6] &lt;= 12'hAA0;</v>
      </c>
      <c r="O8" t="s">
        <v>29</v>
      </c>
      <c r="AL8" t="str">
        <f t="shared" si="0"/>
        <v>0111</v>
      </c>
      <c r="AM8" s="5"/>
    </row>
    <row r="9" spans="1:39" ht="15" customHeight="1" x14ac:dyDescent="0.25">
      <c r="A9" t="s">
        <v>5</v>
      </c>
      <c r="B9">
        <v>7</v>
      </c>
      <c r="C9" t="str">
        <f>DEC2HEX(INT(2/3*HEX2DEC(C17)))</f>
        <v>A</v>
      </c>
      <c r="D9" t="str">
        <f>DEC2HEX(INT(2/3*HEX2DEC(D17)))</f>
        <v>A</v>
      </c>
      <c r="E9" t="str">
        <f t="shared" ref="E9" si="7">DEC2HEX(INT(2/3*HEX2DEC(E17)))</f>
        <v>A</v>
      </c>
      <c r="F9" t="str">
        <f>"4'h"&amp;B9&amp;" : "&amp;"12'h"&amp;Table1[[#This Row],[R]]&amp;Table1[[#This Row],[G]]&amp;Table1[[#This Row],[B]]</f>
        <v>4'h7 : 12'hAAA</v>
      </c>
      <c r="G9" t="str">
        <f>"ColorPalette["&amp;HEX2DEC(Table1[[#This Row],[Value]])&amp;"] &lt;= 12'h"&amp;Table1[[#This Row],[R]]&amp;Table1[[#This Row],[G]]&amp;Table1[[#This Row],[B]]&amp;";"</f>
        <v>ColorPalette[7] &lt;= 12'hAAA;</v>
      </c>
      <c r="I9" s="2">
        <v>128</v>
      </c>
      <c r="J9" t="s">
        <v>33</v>
      </c>
      <c r="O9" t="s">
        <v>30</v>
      </c>
      <c r="AI9" t="s">
        <v>21</v>
      </c>
      <c r="AL9" t="str">
        <f t="shared" si="0"/>
        <v>1000</v>
      </c>
    </row>
    <row r="10" spans="1:39" x14ac:dyDescent="0.25">
      <c r="A10" t="s">
        <v>18</v>
      </c>
      <c r="B10">
        <v>8</v>
      </c>
      <c r="C10" t="str">
        <f>DEC2HEX(INT(2/3*HEX2DEC(C9)))</f>
        <v>6</v>
      </c>
      <c r="D10" t="str">
        <f>DEC2HEX(INT(2/3*HEX2DEC(D9)))</f>
        <v>6</v>
      </c>
      <c r="E10" t="str">
        <f>DEC2HEX(INT(2/3*HEX2DEC(E9)))</f>
        <v>6</v>
      </c>
      <c r="F10" t="str">
        <f>"4'h"&amp;B10&amp;" : "&amp;"12'h"&amp;Table1[[#This Row],[R]]&amp;Table1[[#This Row],[G]]&amp;Table1[[#This Row],[B]]</f>
        <v>4'h8 : 12'h666</v>
      </c>
      <c r="G10" t="str">
        <f>"ColorPalette["&amp;HEX2DEC(Table1[[#This Row],[Value]])&amp;"] &lt;= 12'h"&amp;Table1[[#This Row],[R]]&amp;Table1[[#This Row],[G]]&amp;Table1[[#This Row],[B]]&amp;";"</f>
        <v>ColorPalette[8] &lt;= 12'h666;</v>
      </c>
      <c r="I10" s="3">
        <f>I9/16*9</f>
        <v>72</v>
      </c>
      <c r="J10" t="s">
        <v>32</v>
      </c>
      <c r="AH10" s="4" t="s">
        <v>42</v>
      </c>
      <c r="AI10" t="s">
        <v>39</v>
      </c>
      <c r="AL10" t="str">
        <f t="shared" si="0"/>
        <v>1001</v>
      </c>
      <c r="AM10" s="6" t="s">
        <v>45</v>
      </c>
    </row>
    <row r="11" spans="1:39" x14ac:dyDescent="0.25">
      <c r="A11" t="s">
        <v>4</v>
      </c>
      <c r="B11">
        <v>9</v>
      </c>
      <c r="C11">
        <v>0</v>
      </c>
      <c r="D11">
        <v>0</v>
      </c>
      <c r="E11" t="s">
        <v>17</v>
      </c>
      <c r="F11" t="str">
        <f>"4'h"&amp;B11&amp;" : "&amp;"12'h"&amp;Table1[[#This Row],[R]]&amp;Table1[[#This Row],[G]]&amp;Table1[[#This Row],[B]]</f>
        <v>4'h9 : 12'h00F</v>
      </c>
      <c r="G11" t="str">
        <f>"ColorPalette["&amp;HEX2DEC(Table1[[#This Row],[Value]])&amp;"] &lt;= 12'h"&amp;Table1[[#This Row],[R]]&amp;Table1[[#This Row],[G]]&amp;Table1[[#This Row],[B]]&amp;";"</f>
        <v>ColorPalette[9] &lt;= 12'h00F;</v>
      </c>
      <c r="I11" s="3">
        <f>I9*I10</f>
        <v>9216</v>
      </c>
      <c r="J11" t="s">
        <v>34</v>
      </c>
      <c r="AH11" s="4" t="s">
        <v>44</v>
      </c>
      <c r="AI11" t="s">
        <v>43</v>
      </c>
      <c r="AL11" t="str">
        <f t="shared" si="0"/>
        <v>1010</v>
      </c>
      <c r="AM11" s="6"/>
    </row>
    <row r="12" spans="1:39" x14ac:dyDescent="0.25">
      <c r="A12" t="s">
        <v>1</v>
      </c>
      <c r="B12" t="s">
        <v>13</v>
      </c>
      <c r="C12" t="s">
        <v>17</v>
      </c>
      <c r="D12">
        <v>0</v>
      </c>
      <c r="E12">
        <v>0</v>
      </c>
      <c r="F12" t="str">
        <f>"4'h"&amp;B12&amp;" : "&amp;"12'h"&amp;Table1[[#This Row],[R]]&amp;Table1[[#This Row],[G]]&amp;Table1[[#This Row],[B]]</f>
        <v>4'hA : 12'hF00</v>
      </c>
      <c r="G12" t="str">
        <f>"ColorPalette["&amp;HEX2DEC(Table1[[#This Row],[Value]])&amp;"] &lt;= 12'h"&amp;Table1[[#This Row],[R]]&amp;Table1[[#This Row],[G]]&amp;Table1[[#This Row],[B]]&amp;";"</f>
        <v>ColorPalette[10] &lt;= 12'hF00;</v>
      </c>
      <c r="I12" s="2">
        <v>16</v>
      </c>
      <c r="J12" t="s">
        <v>36</v>
      </c>
      <c r="AH12" t="s">
        <v>40</v>
      </c>
      <c r="AI12" t="s">
        <v>41</v>
      </c>
      <c r="AL12" t="str">
        <f t="shared" si="0"/>
        <v>1011</v>
      </c>
      <c r="AM12" s="6"/>
    </row>
    <row r="13" spans="1:39" x14ac:dyDescent="0.25">
      <c r="A13" t="s">
        <v>11</v>
      </c>
      <c r="B13" t="s">
        <v>10</v>
      </c>
      <c r="C13" t="s">
        <v>17</v>
      </c>
      <c r="D13">
        <v>0</v>
      </c>
      <c r="E13" t="s">
        <v>17</v>
      </c>
      <c r="F13" t="str">
        <f>"4'h"&amp;B13&amp;" : "&amp;"12'h"&amp;Table1[[#This Row],[R]]&amp;Table1[[#This Row],[G]]&amp;Table1[[#This Row],[B]]</f>
        <v>4'hB : 12'hF0F</v>
      </c>
      <c r="G13" t="str">
        <f>"ColorPalette["&amp;HEX2DEC(Table1[[#This Row],[Value]])&amp;"] &lt;= 12'h"&amp;Table1[[#This Row],[R]]&amp;Table1[[#This Row],[G]]&amp;Table1[[#This Row],[B]]&amp;";"</f>
        <v>ColorPalette[11] &lt;= 12'hF0F;</v>
      </c>
      <c r="I13" s="3">
        <f>I11*I12</f>
        <v>147456</v>
      </c>
      <c r="J13" t="s">
        <v>37</v>
      </c>
      <c r="AL13" t="str">
        <f t="shared" si="0"/>
        <v>1100</v>
      </c>
      <c r="AM13" s="6"/>
    </row>
    <row r="14" spans="1:39" x14ac:dyDescent="0.25">
      <c r="A14" t="s">
        <v>3</v>
      </c>
      <c r="B14" t="s">
        <v>14</v>
      </c>
      <c r="C14">
        <v>0</v>
      </c>
      <c r="D14" t="s">
        <v>17</v>
      </c>
      <c r="E14">
        <v>0</v>
      </c>
      <c r="F14" t="str">
        <f>"4'h"&amp;B14&amp;" : "&amp;"12'h"&amp;Table1[[#This Row],[R]]&amp;Table1[[#This Row],[G]]&amp;Table1[[#This Row],[B]]</f>
        <v>4'hC : 12'h0F0</v>
      </c>
      <c r="G14" t="str">
        <f>"ColorPalette["&amp;HEX2DEC(Table1[[#This Row],[Value]])&amp;"] &lt;= 12'h"&amp;Table1[[#This Row],[R]]&amp;Table1[[#This Row],[G]]&amp;Table1[[#This Row],[B]]&amp;";"</f>
        <v>ColorPalette[12] &lt;= 12'h0F0;</v>
      </c>
      <c r="I14" s="3">
        <f>I13/8</f>
        <v>18432</v>
      </c>
      <c r="J14" t="s">
        <v>38</v>
      </c>
      <c r="AL14" t="str">
        <f t="shared" si="0"/>
        <v>1101</v>
      </c>
      <c r="AM14" s="6"/>
    </row>
    <row r="15" spans="1:39" x14ac:dyDescent="0.25">
      <c r="A15" t="s">
        <v>7</v>
      </c>
      <c r="B15" t="s">
        <v>15</v>
      </c>
      <c r="C15">
        <v>0</v>
      </c>
      <c r="D15" t="s">
        <v>17</v>
      </c>
      <c r="E15" t="s">
        <v>17</v>
      </c>
      <c r="F15" t="str">
        <f>"4'h"&amp;B15&amp;" : "&amp;"12'h"&amp;Table1[[#This Row],[R]]&amp;Table1[[#This Row],[G]]&amp;Table1[[#This Row],[B]]</f>
        <v>4'hD : 12'h0FF</v>
      </c>
      <c r="G15" t="str">
        <f>"ColorPalette["&amp;HEX2DEC(Table1[[#This Row],[Value]])&amp;"] &lt;= 12'h"&amp;Table1[[#This Row],[R]]&amp;Table1[[#This Row],[G]]&amp;Table1[[#This Row],[B]]&amp;";"</f>
        <v>ColorPalette[13] &lt;= 12'h0FF;</v>
      </c>
      <c r="AL15" t="str">
        <f t="shared" si="0"/>
        <v>1110</v>
      </c>
      <c r="AM15" s="6"/>
    </row>
    <row r="16" spans="1:39" x14ac:dyDescent="0.25">
      <c r="A16" t="s">
        <v>2</v>
      </c>
      <c r="B16" t="s">
        <v>16</v>
      </c>
      <c r="C16" t="s">
        <v>17</v>
      </c>
      <c r="D16" t="s">
        <v>17</v>
      </c>
      <c r="E16">
        <v>0</v>
      </c>
      <c r="F16" t="str">
        <f>"4'h"&amp;B16&amp;" : "&amp;"12'h"&amp;Table1[[#This Row],[R]]&amp;Table1[[#This Row],[G]]&amp;Table1[[#This Row],[B]]</f>
        <v>4'hE : 12'hFF0</v>
      </c>
      <c r="G16" t="str">
        <f>"ColorPalette["&amp;HEX2DEC(Table1[[#This Row],[Value]])&amp;"] &lt;= 12'h"&amp;Table1[[#This Row],[R]]&amp;Table1[[#This Row],[G]]&amp;Table1[[#This Row],[B]]&amp;";"</f>
        <v>ColorPalette[14] &lt;= 12'hFF0;</v>
      </c>
      <c r="I16" s="2">
        <v>1920</v>
      </c>
      <c r="J16">
        <f>I16/J18</f>
        <v>120</v>
      </c>
      <c r="K16">
        <f>J16*16</f>
        <v>1920</v>
      </c>
      <c r="AL16" t="str">
        <f t="shared" si="0"/>
        <v>1111</v>
      </c>
      <c r="AM16" s="6"/>
    </row>
    <row r="17" spans="1:11" x14ac:dyDescent="0.25">
      <c r="A17" t="s">
        <v>12</v>
      </c>
      <c r="B17" t="s">
        <v>17</v>
      </c>
      <c r="C17" t="s">
        <v>17</v>
      </c>
      <c r="D17" t="s">
        <v>17</v>
      </c>
      <c r="E17" t="s">
        <v>17</v>
      </c>
      <c r="F17" t="str">
        <f>"4'h"&amp;B17&amp;" : "&amp;"12'h"&amp;Table1[[#This Row],[R]]&amp;Table1[[#This Row],[G]]&amp;Table1[[#This Row],[B]]</f>
        <v>4'hF : 12'hFFF</v>
      </c>
      <c r="G17" t="str">
        <f>"ColorPalette["&amp;HEX2DEC(Table1[[#This Row],[Value]])&amp;"] &lt;= 12'h"&amp;Table1[[#This Row],[R]]&amp;Table1[[#This Row],[G]]&amp;Table1[[#This Row],[B]]&amp;";"</f>
        <v>ColorPalette[15] &lt;= 12'hFFF;</v>
      </c>
      <c r="I17" s="3">
        <f>I16/16*9</f>
        <v>1080</v>
      </c>
      <c r="J17">
        <v>67</v>
      </c>
      <c r="K17">
        <f>J17*16</f>
        <v>1072</v>
      </c>
    </row>
    <row r="18" spans="1:11" x14ac:dyDescent="0.25">
      <c r="I18">
        <f>I16/I9</f>
        <v>15</v>
      </c>
      <c r="J18">
        <v>16</v>
      </c>
    </row>
    <row r="19" spans="1:11" x14ac:dyDescent="0.25">
      <c r="I19">
        <f>I17/I10</f>
        <v>15</v>
      </c>
      <c r="J19">
        <f>J16*J17</f>
        <v>8040</v>
      </c>
    </row>
    <row r="20" spans="1:11" x14ac:dyDescent="0.25">
      <c r="J20">
        <f>J19*2</f>
        <v>16080</v>
      </c>
    </row>
  </sheetData>
  <mergeCells count="6">
    <mergeCell ref="AM10:AM16"/>
    <mergeCell ref="AM6:AM8"/>
    <mergeCell ref="S2:U2"/>
    <mergeCell ref="P2:R2"/>
    <mergeCell ref="V2:AC3"/>
    <mergeCell ref="AM2:AM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35F0-6465-4387-8CC9-96099802A51B}">
  <dimension ref="A1:AQ38"/>
  <sheetViews>
    <sheetView tabSelected="1" workbookViewId="0">
      <selection activeCell="D4" sqref="D4:AQ4"/>
    </sheetView>
  </sheetViews>
  <sheetFormatPr defaultRowHeight="15" x14ac:dyDescent="0.25"/>
  <cols>
    <col min="1" max="1" width="4" bestFit="1" customWidth="1"/>
    <col min="2" max="2" width="2" bestFit="1" customWidth="1"/>
    <col min="3" max="3" width="2" customWidth="1"/>
    <col min="4" max="4" width="2" bestFit="1" customWidth="1"/>
    <col min="5" max="13" width="3" bestFit="1" customWidth="1"/>
    <col min="14" max="43" width="4" bestFit="1" customWidth="1"/>
  </cols>
  <sheetData>
    <row r="1" spans="1:43" x14ac:dyDescent="0.25">
      <c r="D1">
        <v>0</v>
      </c>
      <c r="E1">
        <f>D1+10</f>
        <v>10</v>
      </c>
      <c r="F1">
        <f t="shared" ref="F1:W1" si="0">E1+10</f>
        <v>20</v>
      </c>
      <c r="G1">
        <f t="shared" si="0"/>
        <v>30</v>
      </c>
      <c r="H1">
        <f t="shared" si="0"/>
        <v>40</v>
      </c>
      <c r="I1">
        <f t="shared" si="0"/>
        <v>50</v>
      </c>
      <c r="J1">
        <f t="shared" si="0"/>
        <v>60</v>
      </c>
      <c r="K1">
        <f t="shared" si="0"/>
        <v>70</v>
      </c>
      <c r="L1">
        <f t="shared" si="0"/>
        <v>80</v>
      </c>
      <c r="M1">
        <f t="shared" si="0"/>
        <v>90</v>
      </c>
      <c r="N1">
        <f t="shared" si="0"/>
        <v>100</v>
      </c>
      <c r="O1">
        <f t="shared" si="0"/>
        <v>110</v>
      </c>
      <c r="P1">
        <f t="shared" si="0"/>
        <v>120</v>
      </c>
      <c r="Q1">
        <f t="shared" si="0"/>
        <v>130</v>
      </c>
      <c r="R1">
        <f t="shared" si="0"/>
        <v>140</v>
      </c>
      <c r="S1">
        <f t="shared" si="0"/>
        <v>150</v>
      </c>
      <c r="T1">
        <f t="shared" si="0"/>
        <v>160</v>
      </c>
      <c r="U1">
        <f t="shared" si="0"/>
        <v>170</v>
      </c>
      <c r="V1">
        <f t="shared" si="0"/>
        <v>180</v>
      </c>
      <c r="W1">
        <f t="shared" si="0"/>
        <v>190</v>
      </c>
      <c r="X1">
        <f t="shared" ref="X1:AM1" si="1">W1+10</f>
        <v>200</v>
      </c>
      <c r="Y1">
        <f t="shared" si="1"/>
        <v>210</v>
      </c>
      <c r="Z1">
        <f t="shared" si="1"/>
        <v>220</v>
      </c>
      <c r="AA1">
        <f t="shared" si="1"/>
        <v>230</v>
      </c>
      <c r="AB1">
        <f t="shared" si="1"/>
        <v>240</v>
      </c>
      <c r="AC1">
        <f t="shared" si="1"/>
        <v>250</v>
      </c>
      <c r="AD1">
        <f t="shared" si="1"/>
        <v>260</v>
      </c>
      <c r="AE1">
        <f t="shared" si="1"/>
        <v>270</v>
      </c>
      <c r="AF1">
        <f t="shared" si="1"/>
        <v>280</v>
      </c>
      <c r="AG1">
        <f t="shared" si="1"/>
        <v>290</v>
      </c>
      <c r="AH1">
        <f t="shared" si="1"/>
        <v>300</v>
      </c>
      <c r="AI1">
        <f t="shared" si="1"/>
        <v>310</v>
      </c>
      <c r="AJ1">
        <f t="shared" si="1"/>
        <v>320</v>
      </c>
      <c r="AK1">
        <f t="shared" si="1"/>
        <v>330</v>
      </c>
      <c r="AL1">
        <f t="shared" si="1"/>
        <v>340</v>
      </c>
      <c r="AM1">
        <f t="shared" si="1"/>
        <v>350</v>
      </c>
      <c r="AN1">
        <f t="shared" ref="AN1:AQ1" si="2">AM1+10</f>
        <v>360</v>
      </c>
      <c r="AO1">
        <f t="shared" si="2"/>
        <v>370</v>
      </c>
      <c r="AP1">
        <f t="shared" si="2"/>
        <v>380</v>
      </c>
      <c r="AQ1">
        <f t="shared" si="2"/>
        <v>390</v>
      </c>
    </row>
    <row r="2" spans="1:43" x14ac:dyDescent="0.25">
      <c r="D2">
        <f>INT(D1/80)</f>
        <v>0</v>
      </c>
      <c r="E2">
        <f t="shared" ref="E2:AM2" si="3">INT(E1/80)</f>
        <v>0</v>
      </c>
      <c r="F2">
        <f t="shared" si="3"/>
        <v>0</v>
      </c>
      <c r="G2">
        <f t="shared" si="3"/>
        <v>0</v>
      </c>
      <c r="H2">
        <f t="shared" si="3"/>
        <v>0</v>
      </c>
      <c r="I2">
        <f t="shared" si="3"/>
        <v>0</v>
      </c>
      <c r="J2">
        <f t="shared" si="3"/>
        <v>0</v>
      </c>
      <c r="K2">
        <f t="shared" si="3"/>
        <v>0</v>
      </c>
      <c r="L2">
        <f t="shared" si="3"/>
        <v>1</v>
      </c>
      <c r="M2">
        <f t="shared" si="3"/>
        <v>1</v>
      </c>
      <c r="N2">
        <f t="shared" si="3"/>
        <v>1</v>
      </c>
      <c r="O2">
        <f t="shared" si="3"/>
        <v>1</v>
      </c>
      <c r="P2">
        <f t="shared" si="3"/>
        <v>1</v>
      </c>
      <c r="Q2">
        <f t="shared" si="3"/>
        <v>1</v>
      </c>
      <c r="R2">
        <f t="shared" si="3"/>
        <v>1</v>
      </c>
      <c r="S2">
        <f t="shared" si="3"/>
        <v>1</v>
      </c>
      <c r="T2">
        <f t="shared" si="3"/>
        <v>2</v>
      </c>
      <c r="U2">
        <f t="shared" si="3"/>
        <v>2</v>
      </c>
      <c r="V2">
        <f t="shared" si="3"/>
        <v>2</v>
      </c>
      <c r="W2">
        <f t="shared" si="3"/>
        <v>2</v>
      </c>
      <c r="X2">
        <f t="shared" si="3"/>
        <v>2</v>
      </c>
      <c r="Y2">
        <f t="shared" si="3"/>
        <v>2</v>
      </c>
      <c r="Z2">
        <f t="shared" si="3"/>
        <v>2</v>
      </c>
      <c r="AA2">
        <f t="shared" si="3"/>
        <v>2</v>
      </c>
      <c r="AB2">
        <f t="shared" si="3"/>
        <v>3</v>
      </c>
      <c r="AC2">
        <f t="shared" si="3"/>
        <v>3</v>
      </c>
      <c r="AD2">
        <f t="shared" si="3"/>
        <v>3</v>
      </c>
      <c r="AE2">
        <f t="shared" si="3"/>
        <v>3</v>
      </c>
      <c r="AF2">
        <f t="shared" si="3"/>
        <v>3</v>
      </c>
      <c r="AG2">
        <f t="shared" si="3"/>
        <v>3</v>
      </c>
      <c r="AH2">
        <f t="shared" si="3"/>
        <v>3</v>
      </c>
      <c r="AI2">
        <f t="shared" si="3"/>
        <v>3</v>
      </c>
      <c r="AJ2">
        <f t="shared" si="3"/>
        <v>4</v>
      </c>
      <c r="AK2">
        <f t="shared" si="3"/>
        <v>4</v>
      </c>
      <c r="AL2">
        <f t="shared" si="3"/>
        <v>4</v>
      </c>
      <c r="AM2">
        <f t="shared" si="3"/>
        <v>4</v>
      </c>
      <c r="AN2">
        <f t="shared" ref="AN2" si="4">INT(AN1/80)</f>
        <v>4</v>
      </c>
      <c r="AO2">
        <f t="shared" ref="AO2" si="5">INT(AO1/80)</f>
        <v>4</v>
      </c>
      <c r="AP2">
        <f t="shared" ref="AP2" si="6">INT(AP1/80)</f>
        <v>4</v>
      </c>
      <c r="AQ2">
        <f t="shared" ref="AQ2" si="7">INT(AQ1/80)</f>
        <v>4</v>
      </c>
    </row>
    <row r="3" spans="1:43" x14ac:dyDescent="0.25">
      <c r="D3">
        <f>MOD(D1,8)</f>
        <v>0</v>
      </c>
      <c r="E3">
        <f t="shared" ref="E3:AQ3" si="8">MOD(E1,8)</f>
        <v>2</v>
      </c>
      <c r="F3">
        <f t="shared" si="8"/>
        <v>4</v>
      </c>
      <c r="G3">
        <f t="shared" si="8"/>
        <v>6</v>
      </c>
      <c r="H3">
        <f t="shared" si="8"/>
        <v>0</v>
      </c>
      <c r="I3">
        <f t="shared" si="8"/>
        <v>2</v>
      </c>
      <c r="J3">
        <f t="shared" si="8"/>
        <v>4</v>
      </c>
      <c r="K3">
        <f t="shared" si="8"/>
        <v>6</v>
      </c>
      <c r="L3">
        <f t="shared" si="8"/>
        <v>0</v>
      </c>
      <c r="M3">
        <f t="shared" si="8"/>
        <v>2</v>
      </c>
      <c r="N3">
        <f t="shared" si="8"/>
        <v>4</v>
      </c>
      <c r="O3">
        <f t="shared" si="8"/>
        <v>6</v>
      </c>
      <c r="P3">
        <f t="shared" si="8"/>
        <v>0</v>
      </c>
      <c r="Q3">
        <f t="shared" si="8"/>
        <v>2</v>
      </c>
      <c r="R3">
        <f t="shared" si="8"/>
        <v>4</v>
      </c>
      <c r="S3">
        <f t="shared" si="8"/>
        <v>6</v>
      </c>
      <c r="T3">
        <f t="shared" si="8"/>
        <v>0</v>
      </c>
      <c r="U3">
        <f t="shared" si="8"/>
        <v>2</v>
      </c>
      <c r="V3">
        <f t="shared" si="8"/>
        <v>4</v>
      </c>
      <c r="W3">
        <f t="shared" si="8"/>
        <v>6</v>
      </c>
      <c r="X3">
        <f t="shared" si="8"/>
        <v>0</v>
      </c>
      <c r="Y3">
        <f t="shared" si="8"/>
        <v>2</v>
      </c>
      <c r="Z3">
        <f t="shared" si="8"/>
        <v>4</v>
      </c>
      <c r="AA3">
        <f t="shared" si="8"/>
        <v>6</v>
      </c>
      <c r="AB3">
        <f t="shared" si="8"/>
        <v>0</v>
      </c>
      <c r="AC3">
        <f t="shared" si="8"/>
        <v>2</v>
      </c>
      <c r="AD3">
        <f t="shared" si="8"/>
        <v>4</v>
      </c>
      <c r="AE3">
        <f t="shared" si="8"/>
        <v>6</v>
      </c>
      <c r="AF3">
        <f t="shared" si="8"/>
        <v>0</v>
      </c>
      <c r="AG3">
        <f t="shared" si="8"/>
        <v>2</v>
      </c>
      <c r="AH3">
        <f t="shared" si="8"/>
        <v>4</v>
      </c>
      <c r="AI3">
        <f t="shared" si="8"/>
        <v>6</v>
      </c>
      <c r="AJ3">
        <f t="shared" si="8"/>
        <v>0</v>
      </c>
      <c r="AK3">
        <f t="shared" si="8"/>
        <v>2</v>
      </c>
      <c r="AL3">
        <f t="shared" si="8"/>
        <v>4</v>
      </c>
      <c r="AM3">
        <f t="shared" si="8"/>
        <v>6</v>
      </c>
      <c r="AN3">
        <f t="shared" si="8"/>
        <v>0</v>
      </c>
      <c r="AO3">
        <f t="shared" si="8"/>
        <v>2</v>
      </c>
      <c r="AP3">
        <f t="shared" si="8"/>
        <v>4</v>
      </c>
      <c r="AQ3">
        <f t="shared" si="8"/>
        <v>6</v>
      </c>
    </row>
    <row r="4" spans="1:43" x14ac:dyDescent="0.25">
      <c r="D4">
        <f>MOD(MOD(D1,80),7)</f>
        <v>0</v>
      </c>
      <c r="E4">
        <f t="shared" ref="E4:AQ4" si="9">MOD(MOD(E1,80),7)</f>
        <v>3</v>
      </c>
      <c r="F4">
        <f t="shared" si="9"/>
        <v>6</v>
      </c>
      <c r="G4">
        <f t="shared" si="9"/>
        <v>2</v>
      </c>
      <c r="H4">
        <f t="shared" si="9"/>
        <v>5</v>
      </c>
      <c r="I4">
        <f t="shared" si="9"/>
        <v>1</v>
      </c>
      <c r="J4">
        <f t="shared" si="9"/>
        <v>4</v>
      </c>
      <c r="K4">
        <f t="shared" si="9"/>
        <v>0</v>
      </c>
      <c r="L4">
        <f t="shared" si="9"/>
        <v>0</v>
      </c>
      <c r="M4">
        <f t="shared" si="9"/>
        <v>3</v>
      </c>
      <c r="N4">
        <f t="shared" si="9"/>
        <v>6</v>
      </c>
      <c r="O4">
        <f t="shared" si="9"/>
        <v>2</v>
      </c>
      <c r="P4">
        <f t="shared" si="9"/>
        <v>5</v>
      </c>
      <c r="Q4">
        <f t="shared" si="9"/>
        <v>1</v>
      </c>
      <c r="R4">
        <f t="shared" si="9"/>
        <v>4</v>
      </c>
      <c r="S4">
        <f t="shared" si="9"/>
        <v>0</v>
      </c>
      <c r="T4">
        <f t="shared" si="9"/>
        <v>0</v>
      </c>
      <c r="U4">
        <f t="shared" si="9"/>
        <v>3</v>
      </c>
      <c r="V4">
        <f t="shared" si="9"/>
        <v>6</v>
      </c>
      <c r="W4">
        <f t="shared" si="9"/>
        <v>2</v>
      </c>
      <c r="X4">
        <f t="shared" si="9"/>
        <v>5</v>
      </c>
      <c r="Y4">
        <f t="shared" si="9"/>
        <v>1</v>
      </c>
      <c r="Z4">
        <f t="shared" si="9"/>
        <v>4</v>
      </c>
      <c r="AA4">
        <f t="shared" si="9"/>
        <v>0</v>
      </c>
      <c r="AB4">
        <f t="shared" si="9"/>
        <v>0</v>
      </c>
      <c r="AC4">
        <f t="shared" si="9"/>
        <v>3</v>
      </c>
      <c r="AD4">
        <f t="shared" si="9"/>
        <v>6</v>
      </c>
      <c r="AE4">
        <f t="shared" si="9"/>
        <v>2</v>
      </c>
      <c r="AF4">
        <f t="shared" si="9"/>
        <v>5</v>
      </c>
      <c r="AG4">
        <f t="shared" si="9"/>
        <v>1</v>
      </c>
      <c r="AH4">
        <f t="shared" si="9"/>
        <v>4</v>
      </c>
      <c r="AI4">
        <f t="shared" si="9"/>
        <v>0</v>
      </c>
      <c r="AJ4">
        <f t="shared" si="9"/>
        <v>0</v>
      </c>
      <c r="AK4">
        <f t="shared" si="9"/>
        <v>3</v>
      </c>
      <c r="AL4">
        <f t="shared" si="9"/>
        <v>6</v>
      </c>
      <c r="AM4">
        <f t="shared" si="9"/>
        <v>2</v>
      </c>
      <c r="AN4">
        <f t="shared" si="9"/>
        <v>5</v>
      </c>
      <c r="AO4">
        <f t="shared" si="9"/>
        <v>1</v>
      </c>
      <c r="AP4">
        <f t="shared" si="9"/>
        <v>4</v>
      </c>
      <c r="AQ4">
        <f t="shared" si="9"/>
        <v>0</v>
      </c>
    </row>
    <row r="5" spans="1:43" x14ac:dyDescent="0.25">
      <c r="A5">
        <v>0</v>
      </c>
      <c r="B5">
        <f>INT(A5/80)</f>
        <v>0</v>
      </c>
      <c r="C5">
        <f>MOD(A5,8)</f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>
        <f>A5+10</f>
        <v>10</v>
      </c>
      <c r="B6">
        <f>INT(A6/80)</f>
        <v>0</v>
      </c>
      <c r="C6">
        <f t="shared" ref="C6:C38" si="10">MOD(A6,8)</f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>
        <f t="shared" ref="A7:A38" si="11">A6+10</f>
        <v>20</v>
      </c>
      <c r="B7">
        <f t="shared" ref="B7:B38" si="12">INT(A7/80)</f>
        <v>0</v>
      </c>
      <c r="C7">
        <f t="shared" si="10"/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>
        <f t="shared" si="11"/>
        <v>30</v>
      </c>
      <c r="B8">
        <f t="shared" si="12"/>
        <v>0</v>
      </c>
      <c r="C8">
        <f t="shared" si="10"/>
        <v>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>
        <f t="shared" si="11"/>
        <v>40</v>
      </c>
      <c r="B9">
        <f t="shared" si="12"/>
        <v>0</v>
      </c>
      <c r="C9">
        <f t="shared" si="10"/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>
        <f t="shared" si="11"/>
        <v>50</v>
      </c>
      <c r="B10">
        <f t="shared" si="12"/>
        <v>0</v>
      </c>
      <c r="C10">
        <f t="shared" si="10"/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>
        <f t="shared" si="11"/>
        <v>60</v>
      </c>
      <c r="B11">
        <f t="shared" si="12"/>
        <v>0</v>
      </c>
      <c r="C11">
        <f t="shared" si="10"/>
        <v>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>
        <f t="shared" si="11"/>
        <v>70</v>
      </c>
      <c r="B12">
        <f t="shared" si="12"/>
        <v>0</v>
      </c>
      <c r="C12">
        <f t="shared" si="10"/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>
        <f t="shared" si="11"/>
        <v>80</v>
      </c>
      <c r="B13">
        <f t="shared" si="12"/>
        <v>1</v>
      </c>
      <c r="C13">
        <f t="shared" si="10"/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>
        <f t="shared" si="11"/>
        <v>90</v>
      </c>
      <c r="B14">
        <f t="shared" si="12"/>
        <v>1</v>
      </c>
      <c r="C14">
        <f t="shared" si="10"/>
        <v>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>
        <f t="shared" si="11"/>
        <v>100</v>
      </c>
      <c r="B15">
        <f t="shared" si="12"/>
        <v>1</v>
      </c>
      <c r="C15">
        <f t="shared" si="10"/>
        <v>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>
        <f t="shared" si="11"/>
        <v>110</v>
      </c>
      <c r="B16">
        <f t="shared" si="12"/>
        <v>1</v>
      </c>
      <c r="C16">
        <f t="shared" si="10"/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>
        <f t="shared" si="11"/>
        <v>120</v>
      </c>
      <c r="B17">
        <f t="shared" si="12"/>
        <v>1</v>
      </c>
      <c r="C17">
        <f t="shared" si="10"/>
        <v>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>
        <f t="shared" si="11"/>
        <v>130</v>
      </c>
      <c r="B18">
        <f t="shared" si="12"/>
        <v>1</v>
      </c>
      <c r="C18">
        <f t="shared" si="10"/>
        <v>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>
        <f t="shared" si="11"/>
        <v>140</v>
      </c>
      <c r="B19">
        <f t="shared" si="12"/>
        <v>1</v>
      </c>
      <c r="C19">
        <f t="shared" si="10"/>
        <v>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>
        <f t="shared" si="11"/>
        <v>150</v>
      </c>
      <c r="B20">
        <f t="shared" si="12"/>
        <v>1</v>
      </c>
      <c r="C20">
        <f t="shared" si="10"/>
        <v>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>
        <f t="shared" si="11"/>
        <v>160</v>
      </c>
      <c r="B21">
        <f t="shared" si="12"/>
        <v>2</v>
      </c>
      <c r="C21">
        <f t="shared" si="10"/>
        <v>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>
        <f t="shared" si="11"/>
        <v>170</v>
      </c>
      <c r="B22">
        <f t="shared" si="12"/>
        <v>2</v>
      </c>
      <c r="C22">
        <f t="shared" si="10"/>
        <v>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>
        <f t="shared" si="11"/>
        <v>180</v>
      </c>
      <c r="B23">
        <f t="shared" si="12"/>
        <v>2</v>
      </c>
      <c r="C23">
        <f t="shared" si="10"/>
        <v>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>
        <f t="shared" si="11"/>
        <v>190</v>
      </c>
      <c r="B24">
        <f t="shared" si="12"/>
        <v>2</v>
      </c>
      <c r="C24">
        <f t="shared" si="10"/>
        <v>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>
        <f t="shared" si="11"/>
        <v>200</v>
      </c>
      <c r="B25">
        <f t="shared" si="12"/>
        <v>2</v>
      </c>
      <c r="C25">
        <f t="shared" si="10"/>
        <v>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>
        <f t="shared" si="11"/>
        <v>210</v>
      </c>
      <c r="B26">
        <f t="shared" si="12"/>
        <v>2</v>
      </c>
      <c r="C26">
        <f t="shared" si="10"/>
        <v>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>
        <f t="shared" si="11"/>
        <v>220</v>
      </c>
      <c r="B27">
        <f t="shared" si="12"/>
        <v>2</v>
      </c>
      <c r="C27">
        <f t="shared" si="10"/>
        <v>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>
        <f t="shared" si="11"/>
        <v>230</v>
      </c>
      <c r="B28">
        <f t="shared" si="12"/>
        <v>2</v>
      </c>
      <c r="C28">
        <f t="shared" si="10"/>
        <v>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>
        <f t="shared" si="11"/>
        <v>240</v>
      </c>
      <c r="B29">
        <f t="shared" si="12"/>
        <v>3</v>
      </c>
      <c r="C29">
        <f t="shared" si="10"/>
        <v>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>
        <f t="shared" si="11"/>
        <v>250</v>
      </c>
      <c r="B30">
        <f t="shared" si="12"/>
        <v>3</v>
      </c>
      <c r="C30">
        <f t="shared" si="10"/>
        <v>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>
        <f t="shared" si="11"/>
        <v>260</v>
      </c>
      <c r="B31">
        <f t="shared" si="12"/>
        <v>3</v>
      </c>
      <c r="C31">
        <f t="shared" si="10"/>
        <v>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>
        <f t="shared" si="11"/>
        <v>270</v>
      </c>
      <c r="B32">
        <f t="shared" si="12"/>
        <v>3</v>
      </c>
      <c r="C32">
        <f t="shared" si="10"/>
        <v>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>
        <f t="shared" si="11"/>
        <v>280</v>
      </c>
      <c r="B33">
        <f t="shared" si="12"/>
        <v>3</v>
      </c>
      <c r="C33">
        <f t="shared" si="10"/>
        <v>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>
        <f t="shared" si="11"/>
        <v>290</v>
      </c>
      <c r="B34">
        <f t="shared" si="12"/>
        <v>3</v>
      </c>
      <c r="C34">
        <f t="shared" si="10"/>
        <v>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>
        <f t="shared" si="11"/>
        <v>300</v>
      </c>
      <c r="B35">
        <f t="shared" si="12"/>
        <v>3</v>
      </c>
      <c r="C35">
        <f t="shared" si="10"/>
        <v>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>
        <f t="shared" si="11"/>
        <v>310</v>
      </c>
      <c r="B36">
        <f t="shared" si="12"/>
        <v>3</v>
      </c>
      <c r="C36">
        <f t="shared" si="10"/>
        <v>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>
        <f t="shared" si="11"/>
        <v>320</v>
      </c>
      <c r="B37">
        <f t="shared" si="12"/>
        <v>4</v>
      </c>
      <c r="C37">
        <f t="shared" si="10"/>
        <v>0</v>
      </c>
    </row>
    <row r="38" spans="1:43" x14ac:dyDescent="0.25">
      <c r="A38">
        <f t="shared" si="11"/>
        <v>330</v>
      </c>
      <c r="B38">
        <f t="shared" si="12"/>
        <v>4</v>
      </c>
      <c r="C38">
        <f t="shared" si="10"/>
        <v>2</v>
      </c>
    </row>
  </sheetData>
  <mergeCells count="20">
    <mergeCell ref="D21:K28"/>
    <mergeCell ref="L21:S28"/>
    <mergeCell ref="T21:AA28"/>
    <mergeCell ref="AB21:AI28"/>
    <mergeCell ref="AJ21:AQ28"/>
    <mergeCell ref="D29:K36"/>
    <mergeCell ref="L29:S36"/>
    <mergeCell ref="T29:AA36"/>
    <mergeCell ref="AB29:AI36"/>
    <mergeCell ref="AJ29:AQ36"/>
    <mergeCell ref="D5:K12"/>
    <mergeCell ref="L5:S12"/>
    <mergeCell ref="T5:AA12"/>
    <mergeCell ref="AB5:AI12"/>
    <mergeCell ref="AJ5:AQ12"/>
    <mergeCell ref="D13:K20"/>
    <mergeCell ref="L13:S20"/>
    <mergeCell ref="T13:AA20"/>
    <mergeCell ref="AB13:AI20"/>
    <mergeCell ref="AJ13:AQ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F4EC-D488-4630-A15F-45951AB3EAC4}">
  <dimension ref="A1:H16"/>
  <sheetViews>
    <sheetView workbookViewId="0">
      <selection activeCell="F16" sqref="A1:F16"/>
    </sheetView>
  </sheetViews>
  <sheetFormatPr defaultRowHeight="15" x14ac:dyDescent="0.25"/>
  <cols>
    <col min="1" max="4" width="19.5703125" bestFit="1" customWidth="1"/>
    <col min="6" max="6" width="19.5703125" bestFit="1" customWidth="1"/>
  </cols>
  <sheetData>
    <row r="1" spans="1:8" x14ac:dyDescent="0.25">
      <c r="B1" t="s">
        <v>35</v>
      </c>
      <c r="C1" t="s">
        <v>49</v>
      </c>
      <c r="D1" t="s">
        <v>53</v>
      </c>
      <c r="E1" t="s">
        <v>54</v>
      </c>
      <c r="G1">
        <f>SUM(E:E)</f>
        <v>40425</v>
      </c>
      <c r="H1" t="s">
        <v>54</v>
      </c>
    </row>
    <row r="2" spans="1:8" x14ac:dyDescent="0.25">
      <c r="A2" t="s">
        <v>50</v>
      </c>
      <c r="B2">
        <v>8</v>
      </c>
      <c r="C2">
        <v>1</v>
      </c>
      <c r="D2">
        <f>B2*C2</f>
        <v>8</v>
      </c>
      <c r="E2">
        <f>D2/8</f>
        <v>1</v>
      </c>
      <c r="G2">
        <f>G1/1024</f>
        <v>39.4775390625</v>
      </c>
      <c r="H2" t="s">
        <v>60</v>
      </c>
    </row>
    <row r="3" spans="1:8" x14ac:dyDescent="0.25">
      <c r="A3" t="s">
        <v>51</v>
      </c>
      <c r="B3">
        <v>8</v>
      </c>
      <c r="C3">
        <v>1</v>
      </c>
      <c r="D3">
        <f t="shared" ref="D3:D11" si="0">B3*C3</f>
        <v>8</v>
      </c>
      <c r="E3">
        <f t="shared" ref="E3:E16" si="1">D3/8</f>
        <v>1</v>
      </c>
    </row>
    <row r="4" spans="1:8" x14ac:dyDescent="0.25">
      <c r="A4" t="s">
        <v>52</v>
      </c>
      <c r="B4">
        <v>8</v>
      </c>
      <c r="C4">
        <v>1</v>
      </c>
      <c r="D4">
        <f t="shared" si="0"/>
        <v>8</v>
      </c>
      <c r="E4">
        <f t="shared" si="1"/>
        <v>1</v>
      </c>
      <c r="F4" t="s">
        <v>71</v>
      </c>
    </row>
    <row r="5" spans="1:8" x14ac:dyDescent="0.25">
      <c r="A5" t="s">
        <v>72</v>
      </c>
      <c r="B5">
        <v>16</v>
      </c>
      <c r="C5">
        <v>1</v>
      </c>
      <c r="D5">
        <f t="shared" ref="D5" si="2">B5*C5</f>
        <v>16</v>
      </c>
      <c r="E5">
        <f t="shared" si="1"/>
        <v>2</v>
      </c>
      <c r="F5" t="s">
        <v>73</v>
      </c>
    </row>
    <row r="6" spans="1:8" x14ac:dyDescent="0.25">
      <c r="A6" t="s">
        <v>55</v>
      </c>
      <c r="B6">
        <f>16*16</f>
        <v>256</v>
      </c>
      <c r="C6">
        <v>256</v>
      </c>
      <c r="D6">
        <f t="shared" si="0"/>
        <v>65536</v>
      </c>
      <c r="E6">
        <f t="shared" si="1"/>
        <v>8192</v>
      </c>
    </row>
    <row r="7" spans="1:8" x14ac:dyDescent="0.25">
      <c r="A7" t="s">
        <v>63</v>
      </c>
      <c r="B7">
        <v>8</v>
      </c>
      <c r="C7">
        <v>1</v>
      </c>
      <c r="D7">
        <f t="shared" ref="D7:D10" si="3">B7*C7</f>
        <v>8</v>
      </c>
      <c r="E7">
        <f t="shared" si="1"/>
        <v>1</v>
      </c>
      <c r="F7" s="4" t="s">
        <v>67</v>
      </c>
    </row>
    <row r="8" spans="1:8" x14ac:dyDescent="0.25">
      <c r="A8" t="s">
        <v>64</v>
      </c>
      <c r="B8">
        <v>8</v>
      </c>
      <c r="C8">
        <v>1</v>
      </c>
      <c r="D8">
        <f t="shared" si="3"/>
        <v>8</v>
      </c>
      <c r="E8">
        <f t="shared" si="1"/>
        <v>1</v>
      </c>
      <c r="F8" s="4" t="s">
        <v>68</v>
      </c>
    </row>
    <row r="9" spans="1:8" x14ac:dyDescent="0.25">
      <c r="A9" t="s">
        <v>65</v>
      </c>
      <c r="B9">
        <v>8</v>
      </c>
      <c r="C9">
        <v>1</v>
      </c>
      <c r="D9">
        <f t="shared" si="3"/>
        <v>8</v>
      </c>
      <c r="E9">
        <f t="shared" si="1"/>
        <v>1</v>
      </c>
      <c r="F9" s="4" t="s">
        <v>69</v>
      </c>
    </row>
    <row r="10" spans="1:8" x14ac:dyDescent="0.25">
      <c r="A10" t="s">
        <v>66</v>
      </c>
      <c r="B10">
        <v>8</v>
      </c>
      <c r="C10">
        <v>1</v>
      </c>
      <c r="D10">
        <f t="shared" si="3"/>
        <v>8</v>
      </c>
      <c r="E10">
        <f t="shared" si="1"/>
        <v>1</v>
      </c>
      <c r="F10" s="4" t="s">
        <v>70</v>
      </c>
    </row>
    <row r="11" spans="1:8" x14ac:dyDescent="0.25">
      <c r="A11" t="s">
        <v>58</v>
      </c>
      <c r="B11">
        <v>16</v>
      </c>
      <c r="C11">
        <v>8</v>
      </c>
      <c r="D11">
        <f t="shared" si="0"/>
        <v>128</v>
      </c>
      <c r="E11">
        <f t="shared" si="1"/>
        <v>16</v>
      </c>
    </row>
    <row r="12" spans="1:8" x14ac:dyDescent="0.25">
      <c r="A12" t="s">
        <v>56</v>
      </c>
      <c r="B12">
        <v>16</v>
      </c>
      <c r="C12">
        <v>8</v>
      </c>
      <c r="D12">
        <f t="shared" ref="D12:D14" si="4">B12*C12</f>
        <v>128</v>
      </c>
      <c r="E12">
        <f t="shared" si="1"/>
        <v>16</v>
      </c>
    </row>
    <row r="13" spans="1:8" x14ac:dyDescent="0.25">
      <c r="A13" t="s">
        <v>57</v>
      </c>
      <c r="B13">
        <v>16</v>
      </c>
      <c r="C13">
        <v>8</v>
      </c>
      <c r="D13">
        <f t="shared" si="4"/>
        <v>128</v>
      </c>
      <c r="E13">
        <f t="shared" si="1"/>
        <v>16</v>
      </c>
    </row>
    <row r="14" spans="1:8" x14ac:dyDescent="0.25">
      <c r="A14" t="s">
        <v>59</v>
      </c>
      <c r="B14">
        <v>16</v>
      </c>
      <c r="C14">
        <v>8</v>
      </c>
      <c r="D14">
        <f t="shared" si="4"/>
        <v>128</v>
      </c>
      <c r="E14">
        <f t="shared" si="1"/>
        <v>16</v>
      </c>
    </row>
    <row r="15" spans="1:8" x14ac:dyDescent="0.25">
      <c r="A15" t="s">
        <v>61</v>
      </c>
      <c r="B15">
        <v>16</v>
      </c>
      <c r="C15">
        <f>120*67</f>
        <v>8040</v>
      </c>
      <c r="D15">
        <f t="shared" ref="D15" si="5">B15*C15</f>
        <v>128640</v>
      </c>
      <c r="E15">
        <f t="shared" si="1"/>
        <v>16080</v>
      </c>
    </row>
    <row r="16" spans="1:8" x14ac:dyDescent="0.25">
      <c r="A16" t="s">
        <v>62</v>
      </c>
      <c r="B16">
        <v>16</v>
      </c>
      <c r="C16">
        <f>120*67</f>
        <v>8040</v>
      </c>
      <c r="D16">
        <f t="shared" ref="D16" si="6">B16*C16</f>
        <v>128640</v>
      </c>
      <c r="E16">
        <f t="shared" si="1"/>
        <v>16080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D886-CF8E-4B8F-B322-9C0BECC90979}">
  <dimension ref="A1:V16"/>
  <sheetViews>
    <sheetView workbookViewId="0">
      <selection activeCell="L5" sqref="L5"/>
    </sheetView>
  </sheetViews>
  <sheetFormatPr defaultRowHeight="15" x14ac:dyDescent="0.25"/>
  <cols>
    <col min="1" max="1" width="15.7109375" bestFit="1" customWidth="1"/>
    <col min="2" max="2" width="4.28515625" bestFit="1" customWidth="1"/>
    <col min="3" max="3" width="8.42578125" bestFit="1" customWidth="1"/>
    <col min="5" max="5" width="6" bestFit="1" customWidth="1"/>
    <col min="6" max="6" width="19.5703125" bestFit="1" customWidth="1"/>
    <col min="15" max="15" width="15.7109375" bestFit="1" customWidth="1"/>
    <col min="16" max="16" width="4.28515625" bestFit="1" customWidth="1"/>
    <col min="17" max="17" width="8.42578125" bestFit="1" customWidth="1"/>
    <col min="19" max="19" width="6" bestFit="1" customWidth="1"/>
    <col min="20" max="20" width="19.5703125" bestFit="1" customWidth="1"/>
  </cols>
  <sheetData>
    <row r="1" spans="1:22" x14ac:dyDescent="0.25">
      <c r="B1" t="s">
        <v>35</v>
      </c>
      <c r="C1" t="s">
        <v>49</v>
      </c>
      <c r="D1" t="s">
        <v>53</v>
      </c>
      <c r="E1" t="s">
        <v>54</v>
      </c>
      <c r="G1">
        <f>SUM(E:E)</f>
        <v>40425</v>
      </c>
      <c r="P1" t="s">
        <v>35</v>
      </c>
      <c r="Q1" t="s">
        <v>49</v>
      </c>
      <c r="R1" t="s">
        <v>53</v>
      </c>
      <c r="S1" t="s">
        <v>54</v>
      </c>
      <c r="U1">
        <f>SUM(S:S)</f>
        <v>8367.375</v>
      </c>
      <c r="V1" t="s">
        <v>10</v>
      </c>
    </row>
    <row r="2" spans="1:22" x14ac:dyDescent="0.25">
      <c r="A2" t="s">
        <v>50</v>
      </c>
      <c r="B2">
        <v>8</v>
      </c>
      <c r="C2">
        <v>1</v>
      </c>
      <c r="D2">
        <f>B2*C2</f>
        <v>8</v>
      </c>
      <c r="E2">
        <f>D2/8</f>
        <v>1</v>
      </c>
      <c r="G2">
        <f>G1/1024</f>
        <v>39.4775390625</v>
      </c>
      <c r="J2">
        <v>1920</v>
      </c>
      <c r="K2">
        <v>1080</v>
      </c>
      <c r="L2">
        <f>J2/K2</f>
        <v>1.7777777777777777</v>
      </c>
      <c r="O2" t="s">
        <v>50</v>
      </c>
      <c r="P2">
        <v>6</v>
      </c>
      <c r="Q2">
        <v>1</v>
      </c>
      <c r="R2">
        <f>P2*Q2</f>
        <v>6</v>
      </c>
      <c r="S2">
        <f>R2/8</f>
        <v>0.75</v>
      </c>
      <c r="U2">
        <f>U1/1024</f>
        <v>8.1712646484375</v>
      </c>
      <c r="V2" t="s">
        <v>74</v>
      </c>
    </row>
    <row r="3" spans="1:22" x14ac:dyDescent="0.25">
      <c r="A3" t="s">
        <v>51</v>
      </c>
      <c r="B3">
        <v>8</v>
      </c>
      <c r="C3">
        <v>1</v>
      </c>
      <c r="D3">
        <f t="shared" ref="D3:D16" si="0">B3*C3</f>
        <v>8</v>
      </c>
      <c r="E3">
        <f t="shared" ref="E3:E16" si="1">D3/8</f>
        <v>1</v>
      </c>
      <c r="J3">
        <v>80</v>
      </c>
      <c r="K3">
        <f>J3/L3</f>
        <v>45</v>
      </c>
      <c r="L3">
        <f>L2</f>
        <v>1.7777777777777777</v>
      </c>
      <c r="O3" t="s">
        <v>51</v>
      </c>
      <c r="P3">
        <v>7</v>
      </c>
      <c r="Q3">
        <v>1</v>
      </c>
      <c r="R3">
        <f t="shared" ref="R3:R8" si="2">P3*Q3</f>
        <v>7</v>
      </c>
      <c r="S3">
        <f t="shared" ref="S3:S8" si="3">R3/8</f>
        <v>0.875</v>
      </c>
    </row>
    <row r="4" spans="1:22" x14ac:dyDescent="0.25">
      <c r="A4" t="s">
        <v>52</v>
      </c>
      <c r="B4">
        <v>8</v>
      </c>
      <c r="C4">
        <v>1</v>
      </c>
      <c r="D4">
        <f t="shared" si="0"/>
        <v>8</v>
      </c>
      <c r="E4">
        <f t="shared" si="1"/>
        <v>1</v>
      </c>
      <c r="F4" t="s">
        <v>71</v>
      </c>
      <c r="J4">
        <f>J2/J3</f>
        <v>24</v>
      </c>
      <c r="K4">
        <f>K2/K3</f>
        <v>24</v>
      </c>
      <c r="L4">
        <f>J3*K3</f>
        <v>3600</v>
      </c>
      <c r="O4" t="s">
        <v>52</v>
      </c>
      <c r="P4">
        <v>2</v>
      </c>
      <c r="Q4">
        <v>1</v>
      </c>
      <c r="R4">
        <f t="shared" si="2"/>
        <v>2</v>
      </c>
      <c r="S4">
        <f t="shared" si="3"/>
        <v>0.25</v>
      </c>
      <c r="T4" t="s">
        <v>71</v>
      </c>
    </row>
    <row r="5" spans="1:22" x14ac:dyDescent="0.25">
      <c r="A5" t="s">
        <v>72</v>
      </c>
      <c r="B5">
        <v>16</v>
      </c>
      <c r="C5">
        <v>1</v>
      </c>
      <c r="D5">
        <f t="shared" si="0"/>
        <v>16</v>
      </c>
      <c r="E5">
        <f t="shared" si="1"/>
        <v>2</v>
      </c>
      <c r="F5" t="s">
        <v>73</v>
      </c>
      <c r="J5">
        <f>_xlfn.CEILING.MATH(LOG(J3,2),)</f>
        <v>7</v>
      </c>
      <c r="K5">
        <f>_xlfn.CEILING.MATH(LOG(K3,2),)</f>
        <v>6</v>
      </c>
      <c r="O5" t="s">
        <v>72</v>
      </c>
      <c r="P5">
        <v>12</v>
      </c>
      <c r="Q5">
        <v>1</v>
      </c>
      <c r="R5">
        <f t="shared" si="2"/>
        <v>12</v>
      </c>
      <c r="S5">
        <f t="shared" si="3"/>
        <v>1.5</v>
      </c>
      <c r="T5" t="s">
        <v>73</v>
      </c>
    </row>
    <row r="6" spans="1:22" x14ac:dyDescent="0.25">
      <c r="A6" t="s">
        <v>55</v>
      </c>
      <c r="B6">
        <f>16*16</f>
        <v>256</v>
      </c>
      <c r="C6">
        <v>256</v>
      </c>
      <c r="D6">
        <f t="shared" si="0"/>
        <v>65536</v>
      </c>
      <c r="E6">
        <f t="shared" si="1"/>
        <v>8192</v>
      </c>
      <c r="I6">
        <v>16</v>
      </c>
      <c r="J6">
        <f>_xlfn.FLOOR.MATH((J2/16))</f>
        <v>120</v>
      </c>
      <c r="K6">
        <f>_xlfn.FLOOR.MATH((K2/16))</f>
        <v>67</v>
      </c>
      <c r="O6" t="s">
        <v>55</v>
      </c>
      <c r="P6">
        <f>8*8</f>
        <v>64</v>
      </c>
      <c r="Q6">
        <v>256</v>
      </c>
      <c r="R6">
        <f t="shared" si="2"/>
        <v>16384</v>
      </c>
      <c r="S6">
        <f t="shared" si="3"/>
        <v>2048</v>
      </c>
    </row>
    <row r="7" spans="1:22" x14ac:dyDescent="0.25">
      <c r="A7" t="s">
        <v>63</v>
      </c>
      <c r="B7">
        <v>8</v>
      </c>
      <c r="C7">
        <v>1</v>
      </c>
      <c r="D7">
        <f t="shared" si="0"/>
        <v>8</v>
      </c>
      <c r="E7">
        <f t="shared" si="1"/>
        <v>1</v>
      </c>
      <c r="F7" s="4" t="s">
        <v>67</v>
      </c>
      <c r="O7" t="s">
        <v>58</v>
      </c>
      <c r="P7">
        <v>16</v>
      </c>
      <c r="Q7">
        <v>8</v>
      </c>
      <c r="R7">
        <f t="shared" si="2"/>
        <v>128</v>
      </c>
      <c r="S7">
        <f t="shared" si="3"/>
        <v>16</v>
      </c>
    </row>
    <row r="8" spans="1:22" x14ac:dyDescent="0.25">
      <c r="A8" t="s">
        <v>64</v>
      </c>
      <c r="B8">
        <v>8</v>
      </c>
      <c r="C8">
        <v>1</v>
      </c>
      <c r="D8">
        <f t="shared" si="0"/>
        <v>8</v>
      </c>
      <c r="E8">
        <f t="shared" si="1"/>
        <v>1</v>
      </c>
      <c r="F8" s="4" t="s">
        <v>68</v>
      </c>
      <c r="O8" t="s">
        <v>61</v>
      </c>
      <c r="P8">
        <f>8+6</f>
        <v>14</v>
      </c>
      <c r="Q8">
        <f>J3*K3</f>
        <v>3600</v>
      </c>
      <c r="R8">
        <f t="shared" si="2"/>
        <v>50400</v>
      </c>
      <c r="S8">
        <f t="shared" si="3"/>
        <v>6300</v>
      </c>
    </row>
    <row r="9" spans="1:22" x14ac:dyDescent="0.25">
      <c r="A9" t="s">
        <v>65</v>
      </c>
      <c r="B9">
        <v>8</v>
      </c>
      <c r="C9">
        <v>1</v>
      </c>
      <c r="D9">
        <f t="shared" si="0"/>
        <v>8</v>
      </c>
      <c r="E9">
        <f t="shared" si="1"/>
        <v>1</v>
      </c>
      <c r="F9" s="4" t="s">
        <v>69</v>
      </c>
    </row>
    <row r="10" spans="1:22" x14ac:dyDescent="0.25">
      <c r="A10" t="s">
        <v>66</v>
      </c>
      <c r="B10">
        <v>8</v>
      </c>
      <c r="C10">
        <v>1</v>
      </c>
      <c r="D10">
        <f t="shared" si="0"/>
        <v>8</v>
      </c>
      <c r="E10">
        <f t="shared" si="1"/>
        <v>1</v>
      </c>
      <c r="F10" s="4" t="s">
        <v>70</v>
      </c>
    </row>
    <row r="11" spans="1:22" x14ac:dyDescent="0.25">
      <c r="A11" t="s">
        <v>58</v>
      </c>
      <c r="B11">
        <v>16</v>
      </c>
      <c r="C11">
        <v>8</v>
      </c>
      <c r="D11">
        <f t="shared" si="0"/>
        <v>128</v>
      </c>
      <c r="E11">
        <f t="shared" si="1"/>
        <v>16</v>
      </c>
    </row>
    <row r="12" spans="1:22" x14ac:dyDescent="0.25">
      <c r="A12" t="s">
        <v>56</v>
      </c>
      <c r="B12">
        <v>16</v>
      </c>
      <c r="C12">
        <v>8</v>
      </c>
      <c r="D12">
        <f t="shared" si="0"/>
        <v>128</v>
      </c>
      <c r="E12">
        <f t="shared" si="1"/>
        <v>16</v>
      </c>
    </row>
    <row r="13" spans="1:22" x14ac:dyDescent="0.25">
      <c r="A13" t="s">
        <v>57</v>
      </c>
      <c r="B13">
        <v>16</v>
      </c>
      <c r="C13">
        <v>8</v>
      </c>
      <c r="D13">
        <f t="shared" si="0"/>
        <v>128</v>
      </c>
      <c r="E13">
        <f t="shared" si="1"/>
        <v>16</v>
      </c>
      <c r="O13">
        <v>2200</v>
      </c>
    </row>
    <row r="14" spans="1:22" x14ac:dyDescent="0.25">
      <c r="A14" t="s">
        <v>59</v>
      </c>
      <c r="B14">
        <v>16</v>
      </c>
      <c r="C14">
        <v>8</v>
      </c>
      <c r="D14">
        <f t="shared" si="0"/>
        <v>128</v>
      </c>
      <c r="E14">
        <f t="shared" si="1"/>
        <v>16</v>
      </c>
      <c r="O14">
        <f>LOG(O13,2)</f>
        <v>11.103287808412022</v>
      </c>
    </row>
    <row r="15" spans="1:22" x14ac:dyDescent="0.25">
      <c r="A15" t="s">
        <v>61</v>
      </c>
      <c r="B15">
        <v>16</v>
      </c>
      <c r="C15">
        <f>J6*K6</f>
        <v>8040</v>
      </c>
      <c r="D15">
        <f t="shared" si="0"/>
        <v>128640</v>
      </c>
      <c r="E15">
        <f t="shared" si="1"/>
        <v>16080</v>
      </c>
    </row>
    <row r="16" spans="1:22" x14ac:dyDescent="0.25">
      <c r="A16" t="s">
        <v>62</v>
      </c>
      <c r="B16">
        <v>16</v>
      </c>
      <c r="C16">
        <f>C15</f>
        <v>8040</v>
      </c>
      <c r="D16">
        <f t="shared" si="0"/>
        <v>128640</v>
      </c>
      <c r="E16">
        <f t="shared" si="1"/>
        <v>16080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CDA9-6B5F-4A42-AF15-80B7124F7AC7}">
  <dimension ref="A1:C79"/>
  <sheetViews>
    <sheetView workbookViewId="0">
      <selection activeCell="E2" sqref="E2"/>
    </sheetView>
  </sheetViews>
  <sheetFormatPr defaultRowHeight="15" x14ac:dyDescent="0.25"/>
  <sheetData>
    <row r="1" spans="1:3" x14ac:dyDescent="0.25">
      <c r="A1">
        <v>0</v>
      </c>
      <c r="B1">
        <f>A1/8</f>
        <v>0</v>
      </c>
      <c r="C1">
        <f>INT(A1/8)</f>
        <v>0</v>
      </c>
    </row>
    <row r="2" spans="1:3" x14ac:dyDescent="0.25">
      <c r="A2">
        <f>A1+1</f>
        <v>1</v>
      </c>
      <c r="B2">
        <f>MOD(A2,8)</f>
        <v>1</v>
      </c>
      <c r="C2">
        <f t="shared" ref="C2:C65" si="0">INT(A2/8)</f>
        <v>0</v>
      </c>
    </row>
    <row r="3" spans="1:3" x14ac:dyDescent="0.25">
      <c r="A3">
        <f t="shared" ref="A3:A66" si="1">A2+1</f>
        <v>2</v>
      </c>
      <c r="B3">
        <f t="shared" ref="B3:B66" si="2">MOD(A3,8)</f>
        <v>2</v>
      </c>
      <c r="C3">
        <f t="shared" si="0"/>
        <v>0</v>
      </c>
    </row>
    <row r="4" spans="1:3" x14ac:dyDescent="0.25">
      <c r="A4">
        <f t="shared" si="1"/>
        <v>3</v>
      </c>
      <c r="B4">
        <f t="shared" si="2"/>
        <v>3</v>
      </c>
      <c r="C4">
        <f t="shared" si="0"/>
        <v>0</v>
      </c>
    </row>
    <row r="5" spans="1:3" x14ac:dyDescent="0.25">
      <c r="A5">
        <f t="shared" si="1"/>
        <v>4</v>
      </c>
      <c r="B5">
        <f t="shared" si="2"/>
        <v>4</v>
      </c>
      <c r="C5">
        <f t="shared" si="0"/>
        <v>0</v>
      </c>
    </row>
    <row r="6" spans="1:3" x14ac:dyDescent="0.25">
      <c r="A6">
        <f t="shared" si="1"/>
        <v>5</v>
      </c>
      <c r="B6">
        <f t="shared" si="2"/>
        <v>5</v>
      </c>
      <c r="C6">
        <f t="shared" si="0"/>
        <v>0</v>
      </c>
    </row>
    <row r="7" spans="1:3" x14ac:dyDescent="0.25">
      <c r="A7">
        <f t="shared" si="1"/>
        <v>6</v>
      </c>
      <c r="B7">
        <f t="shared" si="2"/>
        <v>6</v>
      </c>
      <c r="C7">
        <f t="shared" si="0"/>
        <v>0</v>
      </c>
    </row>
    <row r="8" spans="1:3" x14ac:dyDescent="0.25">
      <c r="A8">
        <f t="shared" si="1"/>
        <v>7</v>
      </c>
      <c r="B8">
        <f t="shared" si="2"/>
        <v>7</v>
      </c>
      <c r="C8">
        <f t="shared" si="0"/>
        <v>0</v>
      </c>
    </row>
    <row r="9" spans="1:3" x14ac:dyDescent="0.25">
      <c r="A9">
        <f t="shared" si="1"/>
        <v>8</v>
      </c>
      <c r="B9">
        <f t="shared" si="2"/>
        <v>0</v>
      </c>
      <c r="C9">
        <f t="shared" si="0"/>
        <v>1</v>
      </c>
    </row>
    <row r="10" spans="1:3" x14ac:dyDescent="0.25">
      <c r="A10">
        <f t="shared" si="1"/>
        <v>9</v>
      </c>
      <c r="B10">
        <f t="shared" si="2"/>
        <v>1</v>
      </c>
      <c r="C10">
        <f t="shared" si="0"/>
        <v>1</v>
      </c>
    </row>
    <row r="11" spans="1:3" x14ac:dyDescent="0.25">
      <c r="A11">
        <f t="shared" si="1"/>
        <v>10</v>
      </c>
      <c r="B11">
        <f t="shared" si="2"/>
        <v>2</v>
      </c>
      <c r="C11">
        <f t="shared" si="0"/>
        <v>1</v>
      </c>
    </row>
    <row r="12" spans="1:3" x14ac:dyDescent="0.25">
      <c r="A12">
        <f t="shared" si="1"/>
        <v>11</v>
      </c>
      <c r="B12">
        <f t="shared" si="2"/>
        <v>3</v>
      </c>
      <c r="C12">
        <f t="shared" si="0"/>
        <v>1</v>
      </c>
    </row>
    <row r="13" spans="1:3" x14ac:dyDescent="0.25">
      <c r="A13">
        <f t="shared" si="1"/>
        <v>12</v>
      </c>
      <c r="B13">
        <f t="shared" si="2"/>
        <v>4</v>
      </c>
      <c r="C13">
        <f t="shared" si="0"/>
        <v>1</v>
      </c>
    </row>
    <row r="14" spans="1:3" x14ac:dyDescent="0.25">
      <c r="A14">
        <f t="shared" si="1"/>
        <v>13</v>
      </c>
      <c r="B14">
        <f t="shared" si="2"/>
        <v>5</v>
      </c>
      <c r="C14">
        <f t="shared" si="0"/>
        <v>1</v>
      </c>
    </row>
    <row r="15" spans="1:3" x14ac:dyDescent="0.25">
      <c r="A15">
        <f t="shared" si="1"/>
        <v>14</v>
      </c>
      <c r="B15">
        <f t="shared" si="2"/>
        <v>6</v>
      </c>
      <c r="C15">
        <f t="shared" si="0"/>
        <v>1</v>
      </c>
    </row>
    <row r="16" spans="1:3" x14ac:dyDescent="0.25">
      <c r="A16">
        <f t="shared" si="1"/>
        <v>15</v>
      </c>
      <c r="B16">
        <f t="shared" si="2"/>
        <v>7</v>
      </c>
      <c r="C16">
        <f t="shared" si="0"/>
        <v>1</v>
      </c>
    </row>
    <row r="17" spans="1:3" x14ac:dyDescent="0.25">
      <c r="A17">
        <f t="shared" si="1"/>
        <v>16</v>
      </c>
      <c r="B17">
        <f t="shared" si="2"/>
        <v>0</v>
      </c>
      <c r="C17">
        <f t="shared" si="0"/>
        <v>2</v>
      </c>
    </row>
    <row r="18" spans="1:3" x14ac:dyDescent="0.25">
      <c r="A18">
        <f t="shared" si="1"/>
        <v>17</v>
      </c>
      <c r="B18">
        <f t="shared" si="2"/>
        <v>1</v>
      </c>
      <c r="C18">
        <f t="shared" si="0"/>
        <v>2</v>
      </c>
    </row>
    <row r="19" spans="1:3" x14ac:dyDescent="0.25">
      <c r="A19">
        <f t="shared" si="1"/>
        <v>18</v>
      </c>
      <c r="B19">
        <f t="shared" si="2"/>
        <v>2</v>
      </c>
      <c r="C19">
        <f t="shared" si="0"/>
        <v>2</v>
      </c>
    </row>
    <row r="20" spans="1:3" x14ac:dyDescent="0.25">
      <c r="A20">
        <f t="shared" si="1"/>
        <v>19</v>
      </c>
      <c r="B20">
        <f t="shared" si="2"/>
        <v>3</v>
      </c>
      <c r="C20">
        <f t="shared" si="0"/>
        <v>2</v>
      </c>
    </row>
    <row r="21" spans="1:3" x14ac:dyDescent="0.25">
      <c r="A21">
        <f t="shared" si="1"/>
        <v>20</v>
      </c>
      <c r="B21">
        <f t="shared" si="2"/>
        <v>4</v>
      </c>
      <c r="C21">
        <f t="shared" si="0"/>
        <v>2</v>
      </c>
    </row>
    <row r="22" spans="1:3" x14ac:dyDescent="0.25">
      <c r="A22">
        <f t="shared" si="1"/>
        <v>21</v>
      </c>
      <c r="B22">
        <f t="shared" si="2"/>
        <v>5</v>
      </c>
      <c r="C22">
        <f t="shared" si="0"/>
        <v>2</v>
      </c>
    </row>
    <row r="23" spans="1:3" x14ac:dyDescent="0.25">
      <c r="A23">
        <f t="shared" si="1"/>
        <v>22</v>
      </c>
      <c r="B23">
        <f t="shared" si="2"/>
        <v>6</v>
      </c>
      <c r="C23">
        <f t="shared" si="0"/>
        <v>2</v>
      </c>
    </row>
    <row r="24" spans="1:3" x14ac:dyDescent="0.25">
      <c r="A24">
        <f t="shared" si="1"/>
        <v>23</v>
      </c>
      <c r="B24">
        <f t="shared" si="2"/>
        <v>7</v>
      </c>
      <c r="C24">
        <f t="shared" si="0"/>
        <v>2</v>
      </c>
    </row>
    <row r="25" spans="1:3" x14ac:dyDescent="0.25">
      <c r="A25">
        <f t="shared" si="1"/>
        <v>24</v>
      </c>
      <c r="B25">
        <f t="shared" si="2"/>
        <v>0</v>
      </c>
      <c r="C25">
        <f t="shared" si="0"/>
        <v>3</v>
      </c>
    </row>
    <row r="26" spans="1:3" x14ac:dyDescent="0.25">
      <c r="A26">
        <f t="shared" si="1"/>
        <v>25</v>
      </c>
      <c r="B26">
        <f t="shared" si="2"/>
        <v>1</v>
      </c>
      <c r="C26">
        <f t="shared" si="0"/>
        <v>3</v>
      </c>
    </row>
    <row r="27" spans="1:3" x14ac:dyDescent="0.25">
      <c r="A27">
        <f t="shared" si="1"/>
        <v>26</v>
      </c>
      <c r="B27">
        <f t="shared" si="2"/>
        <v>2</v>
      </c>
      <c r="C27">
        <f t="shared" si="0"/>
        <v>3</v>
      </c>
    </row>
    <row r="28" spans="1:3" x14ac:dyDescent="0.25">
      <c r="A28">
        <f t="shared" si="1"/>
        <v>27</v>
      </c>
      <c r="B28">
        <f t="shared" si="2"/>
        <v>3</v>
      </c>
      <c r="C28">
        <f t="shared" si="0"/>
        <v>3</v>
      </c>
    </row>
    <row r="29" spans="1:3" x14ac:dyDescent="0.25">
      <c r="A29">
        <f t="shared" si="1"/>
        <v>28</v>
      </c>
      <c r="B29">
        <f t="shared" si="2"/>
        <v>4</v>
      </c>
      <c r="C29">
        <f t="shared" si="0"/>
        <v>3</v>
      </c>
    </row>
    <row r="30" spans="1:3" x14ac:dyDescent="0.25">
      <c r="A30">
        <f t="shared" si="1"/>
        <v>29</v>
      </c>
      <c r="B30">
        <f t="shared" si="2"/>
        <v>5</v>
      </c>
      <c r="C30">
        <f t="shared" si="0"/>
        <v>3</v>
      </c>
    </row>
    <row r="31" spans="1:3" x14ac:dyDescent="0.25">
      <c r="A31">
        <f t="shared" si="1"/>
        <v>30</v>
      </c>
      <c r="B31">
        <f t="shared" si="2"/>
        <v>6</v>
      </c>
      <c r="C31">
        <f t="shared" si="0"/>
        <v>3</v>
      </c>
    </row>
    <row r="32" spans="1:3" x14ac:dyDescent="0.25">
      <c r="A32">
        <f t="shared" si="1"/>
        <v>31</v>
      </c>
      <c r="B32">
        <f t="shared" si="2"/>
        <v>7</v>
      </c>
      <c r="C32">
        <f t="shared" si="0"/>
        <v>3</v>
      </c>
    </row>
    <row r="33" spans="1:3" x14ac:dyDescent="0.25">
      <c r="A33">
        <f t="shared" si="1"/>
        <v>32</v>
      </c>
      <c r="B33">
        <f t="shared" si="2"/>
        <v>0</v>
      </c>
      <c r="C33">
        <f t="shared" si="0"/>
        <v>4</v>
      </c>
    </row>
    <row r="34" spans="1:3" x14ac:dyDescent="0.25">
      <c r="A34">
        <f t="shared" si="1"/>
        <v>33</v>
      </c>
      <c r="B34">
        <f t="shared" si="2"/>
        <v>1</v>
      </c>
      <c r="C34">
        <f t="shared" si="0"/>
        <v>4</v>
      </c>
    </row>
    <row r="35" spans="1:3" x14ac:dyDescent="0.25">
      <c r="A35">
        <f t="shared" si="1"/>
        <v>34</v>
      </c>
      <c r="B35">
        <f t="shared" si="2"/>
        <v>2</v>
      </c>
      <c r="C35">
        <f t="shared" si="0"/>
        <v>4</v>
      </c>
    </row>
    <row r="36" spans="1:3" x14ac:dyDescent="0.25">
      <c r="A36">
        <f t="shared" si="1"/>
        <v>35</v>
      </c>
      <c r="B36">
        <f t="shared" si="2"/>
        <v>3</v>
      </c>
      <c r="C36">
        <f t="shared" si="0"/>
        <v>4</v>
      </c>
    </row>
    <row r="37" spans="1:3" x14ac:dyDescent="0.25">
      <c r="A37">
        <f t="shared" si="1"/>
        <v>36</v>
      </c>
      <c r="B37">
        <f t="shared" si="2"/>
        <v>4</v>
      </c>
      <c r="C37">
        <f t="shared" si="0"/>
        <v>4</v>
      </c>
    </row>
    <row r="38" spans="1:3" x14ac:dyDescent="0.25">
      <c r="A38">
        <f t="shared" si="1"/>
        <v>37</v>
      </c>
      <c r="B38">
        <f t="shared" si="2"/>
        <v>5</v>
      </c>
      <c r="C38">
        <f t="shared" si="0"/>
        <v>4</v>
      </c>
    </row>
    <row r="39" spans="1:3" x14ac:dyDescent="0.25">
      <c r="A39">
        <f t="shared" si="1"/>
        <v>38</v>
      </c>
      <c r="B39">
        <f t="shared" si="2"/>
        <v>6</v>
      </c>
      <c r="C39">
        <f t="shared" si="0"/>
        <v>4</v>
      </c>
    </row>
    <row r="40" spans="1:3" x14ac:dyDescent="0.25">
      <c r="A40">
        <f t="shared" si="1"/>
        <v>39</v>
      </c>
      <c r="B40">
        <f t="shared" si="2"/>
        <v>7</v>
      </c>
      <c r="C40">
        <f t="shared" si="0"/>
        <v>4</v>
      </c>
    </row>
    <row r="41" spans="1:3" x14ac:dyDescent="0.25">
      <c r="A41">
        <f t="shared" si="1"/>
        <v>40</v>
      </c>
      <c r="B41">
        <f t="shared" si="2"/>
        <v>0</v>
      </c>
      <c r="C41">
        <f t="shared" si="0"/>
        <v>5</v>
      </c>
    </row>
    <row r="42" spans="1:3" x14ac:dyDescent="0.25">
      <c r="A42">
        <f t="shared" si="1"/>
        <v>41</v>
      </c>
      <c r="B42">
        <f t="shared" si="2"/>
        <v>1</v>
      </c>
      <c r="C42">
        <f t="shared" si="0"/>
        <v>5</v>
      </c>
    </row>
    <row r="43" spans="1:3" x14ac:dyDescent="0.25">
      <c r="A43">
        <f t="shared" si="1"/>
        <v>42</v>
      </c>
      <c r="B43">
        <f t="shared" si="2"/>
        <v>2</v>
      </c>
      <c r="C43">
        <f t="shared" si="0"/>
        <v>5</v>
      </c>
    </row>
    <row r="44" spans="1:3" x14ac:dyDescent="0.25">
      <c r="A44">
        <f t="shared" si="1"/>
        <v>43</v>
      </c>
      <c r="B44">
        <f t="shared" si="2"/>
        <v>3</v>
      </c>
      <c r="C44">
        <f t="shared" si="0"/>
        <v>5</v>
      </c>
    </row>
    <row r="45" spans="1:3" x14ac:dyDescent="0.25">
      <c r="A45">
        <f t="shared" si="1"/>
        <v>44</v>
      </c>
      <c r="B45">
        <f t="shared" si="2"/>
        <v>4</v>
      </c>
      <c r="C45">
        <f t="shared" si="0"/>
        <v>5</v>
      </c>
    </row>
    <row r="46" spans="1:3" x14ac:dyDescent="0.25">
      <c r="A46">
        <f t="shared" si="1"/>
        <v>45</v>
      </c>
      <c r="B46">
        <f t="shared" si="2"/>
        <v>5</v>
      </c>
      <c r="C46">
        <f t="shared" si="0"/>
        <v>5</v>
      </c>
    </row>
    <row r="47" spans="1:3" x14ac:dyDescent="0.25">
      <c r="A47">
        <f t="shared" si="1"/>
        <v>46</v>
      </c>
      <c r="B47">
        <f t="shared" si="2"/>
        <v>6</v>
      </c>
      <c r="C47">
        <f t="shared" si="0"/>
        <v>5</v>
      </c>
    </row>
    <row r="48" spans="1:3" x14ac:dyDescent="0.25">
      <c r="A48">
        <f t="shared" si="1"/>
        <v>47</v>
      </c>
      <c r="B48">
        <f t="shared" si="2"/>
        <v>7</v>
      </c>
      <c r="C48">
        <f t="shared" si="0"/>
        <v>5</v>
      </c>
    </row>
    <row r="49" spans="1:3" x14ac:dyDescent="0.25">
      <c r="A49">
        <f t="shared" si="1"/>
        <v>48</v>
      </c>
      <c r="B49">
        <f t="shared" si="2"/>
        <v>0</v>
      </c>
      <c r="C49">
        <f t="shared" si="0"/>
        <v>6</v>
      </c>
    </row>
    <row r="50" spans="1:3" x14ac:dyDescent="0.25">
      <c r="A50">
        <f t="shared" si="1"/>
        <v>49</v>
      </c>
      <c r="B50">
        <f t="shared" si="2"/>
        <v>1</v>
      </c>
      <c r="C50">
        <f t="shared" si="0"/>
        <v>6</v>
      </c>
    </row>
    <row r="51" spans="1:3" x14ac:dyDescent="0.25">
      <c r="A51">
        <f t="shared" si="1"/>
        <v>50</v>
      </c>
      <c r="B51">
        <f t="shared" si="2"/>
        <v>2</v>
      </c>
      <c r="C51">
        <f t="shared" si="0"/>
        <v>6</v>
      </c>
    </row>
    <row r="52" spans="1:3" x14ac:dyDescent="0.25">
      <c r="A52">
        <f t="shared" si="1"/>
        <v>51</v>
      </c>
      <c r="B52">
        <f t="shared" si="2"/>
        <v>3</v>
      </c>
      <c r="C52">
        <f t="shared" si="0"/>
        <v>6</v>
      </c>
    </row>
    <row r="53" spans="1:3" x14ac:dyDescent="0.25">
      <c r="A53">
        <f t="shared" si="1"/>
        <v>52</v>
      </c>
      <c r="B53">
        <f t="shared" si="2"/>
        <v>4</v>
      </c>
      <c r="C53">
        <f t="shared" si="0"/>
        <v>6</v>
      </c>
    </row>
    <row r="54" spans="1:3" x14ac:dyDescent="0.25">
      <c r="A54">
        <f t="shared" si="1"/>
        <v>53</v>
      </c>
      <c r="B54">
        <f t="shared" si="2"/>
        <v>5</v>
      </c>
      <c r="C54">
        <f t="shared" si="0"/>
        <v>6</v>
      </c>
    </row>
    <row r="55" spans="1:3" x14ac:dyDescent="0.25">
      <c r="A55">
        <f t="shared" si="1"/>
        <v>54</v>
      </c>
      <c r="B55">
        <f t="shared" si="2"/>
        <v>6</v>
      </c>
      <c r="C55">
        <f t="shared" si="0"/>
        <v>6</v>
      </c>
    </row>
    <row r="56" spans="1:3" x14ac:dyDescent="0.25">
      <c r="A56">
        <f t="shared" si="1"/>
        <v>55</v>
      </c>
      <c r="B56">
        <f t="shared" si="2"/>
        <v>7</v>
      </c>
      <c r="C56">
        <f t="shared" si="0"/>
        <v>6</v>
      </c>
    </row>
    <row r="57" spans="1:3" x14ac:dyDescent="0.25">
      <c r="A57">
        <f t="shared" si="1"/>
        <v>56</v>
      </c>
      <c r="B57">
        <f t="shared" si="2"/>
        <v>0</v>
      </c>
      <c r="C57">
        <f t="shared" si="0"/>
        <v>7</v>
      </c>
    </row>
    <row r="58" spans="1:3" x14ac:dyDescent="0.25">
      <c r="A58">
        <f t="shared" si="1"/>
        <v>57</v>
      </c>
      <c r="B58">
        <f t="shared" si="2"/>
        <v>1</v>
      </c>
      <c r="C58">
        <f t="shared" si="0"/>
        <v>7</v>
      </c>
    </row>
    <row r="59" spans="1:3" x14ac:dyDescent="0.25">
      <c r="A59">
        <f t="shared" si="1"/>
        <v>58</v>
      </c>
      <c r="B59">
        <f t="shared" si="2"/>
        <v>2</v>
      </c>
      <c r="C59">
        <f t="shared" si="0"/>
        <v>7</v>
      </c>
    </row>
    <row r="60" spans="1:3" x14ac:dyDescent="0.25">
      <c r="A60">
        <f t="shared" si="1"/>
        <v>59</v>
      </c>
      <c r="B60">
        <f t="shared" si="2"/>
        <v>3</v>
      </c>
      <c r="C60">
        <f t="shared" si="0"/>
        <v>7</v>
      </c>
    </row>
    <row r="61" spans="1:3" x14ac:dyDescent="0.25">
      <c r="A61">
        <f t="shared" si="1"/>
        <v>60</v>
      </c>
      <c r="B61">
        <f t="shared" si="2"/>
        <v>4</v>
      </c>
      <c r="C61">
        <f t="shared" si="0"/>
        <v>7</v>
      </c>
    </row>
    <row r="62" spans="1:3" x14ac:dyDescent="0.25">
      <c r="A62">
        <f t="shared" si="1"/>
        <v>61</v>
      </c>
      <c r="B62">
        <f t="shared" si="2"/>
        <v>5</v>
      </c>
      <c r="C62">
        <f t="shared" si="0"/>
        <v>7</v>
      </c>
    </row>
    <row r="63" spans="1:3" x14ac:dyDescent="0.25">
      <c r="A63">
        <f t="shared" si="1"/>
        <v>62</v>
      </c>
      <c r="B63">
        <f t="shared" si="2"/>
        <v>6</v>
      </c>
      <c r="C63">
        <f t="shared" si="0"/>
        <v>7</v>
      </c>
    </row>
    <row r="64" spans="1:3" x14ac:dyDescent="0.25">
      <c r="A64">
        <f t="shared" si="1"/>
        <v>63</v>
      </c>
      <c r="B64">
        <f t="shared" si="2"/>
        <v>7</v>
      </c>
      <c r="C64">
        <f t="shared" si="0"/>
        <v>7</v>
      </c>
    </row>
    <row r="65" spans="1:3" x14ac:dyDescent="0.25">
      <c r="A65">
        <f t="shared" si="1"/>
        <v>64</v>
      </c>
      <c r="B65">
        <f t="shared" si="2"/>
        <v>0</v>
      </c>
      <c r="C65">
        <f t="shared" si="0"/>
        <v>8</v>
      </c>
    </row>
    <row r="66" spans="1:3" x14ac:dyDescent="0.25">
      <c r="A66">
        <f t="shared" si="1"/>
        <v>65</v>
      </c>
      <c r="B66">
        <f t="shared" si="2"/>
        <v>1</v>
      </c>
      <c r="C66">
        <f t="shared" ref="C66:C79" si="3">INT(A66/8)</f>
        <v>8</v>
      </c>
    </row>
    <row r="67" spans="1:3" x14ac:dyDescent="0.25">
      <c r="A67">
        <f t="shared" ref="A67:A79" si="4">A66+1</f>
        <v>66</v>
      </c>
      <c r="B67">
        <f t="shared" ref="B67:B79" si="5">MOD(A67,8)</f>
        <v>2</v>
      </c>
      <c r="C67">
        <f t="shared" si="3"/>
        <v>8</v>
      </c>
    </row>
    <row r="68" spans="1:3" x14ac:dyDescent="0.25">
      <c r="A68">
        <f t="shared" si="4"/>
        <v>67</v>
      </c>
      <c r="B68">
        <f t="shared" si="5"/>
        <v>3</v>
      </c>
      <c r="C68">
        <f t="shared" si="3"/>
        <v>8</v>
      </c>
    </row>
    <row r="69" spans="1:3" x14ac:dyDescent="0.25">
      <c r="A69">
        <f t="shared" si="4"/>
        <v>68</v>
      </c>
      <c r="B69">
        <f t="shared" si="5"/>
        <v>4</v>
      </c>
      <c r="C69">
        <f t="shared" si="3"/>
        <v>8</v>
      </c>
    </row>
    <row r="70" spans="1:3" x14ac:dyDescent="0.25">
      <c r="A70">
        <f t="shared" si="4"/>
        <v>69</v>
      </c>
      <c r="B70">
        <f t="shared" si="5"/>
        <v>5</v>
      </c>
      <c r="C70">
        <f t="shared" si="3"/>
        <v>8</v>
      </c>
    </row>
    <row r="71" spans="1:3" x14ac:dyDescent="0.25">
      <c r="A71">
        <f t="shared" si="4"/>
        <v>70</v>
      </c>
      <c r="B71">
        <f t="shared" si="5"/>
        <v>6</v>
      </c>
      <c r="C71">
        <f t="shared" si="3"/>
        <v>8</v>
      </c>
    </row>
    <row r="72" spans="1:3" x14ac:dyDescent="0.25">
      <c r="A72">
        <f t="shared" si="4"/>
        <v>71</v>
      </c>
      <c r="B72">
        <f t="shared" si="5"/>
        <v>7</v>
      </c>
      <c r="C72">
        <f t="shared" si="3"/>
        <v>8</v>
      </c>
    </row>
    <row r="73" spans="1:3" x14ac:dyDescent="0.25">
      <c r="A73">
        <f t="shared" si="4"/>
        <v>72</v>
      </c>
      <c r="B73">
        <f t="shared" si="5"/>
        <v>0</v>
      </c>
      <c r="C73">
        <f t="shared" si="3"/>
        <v>9</v>
      </c>
    </row>
    <row r="74" spans="1:3" x14ac:dyDescent="0.25">
      <c r="A74">
        <f t="shared" si="4"/>
        <v>73</v>
      </c>
      <c r="B74">
        <f t="shared" si="5"/>
        <v>1</v>
      </c>
      <c r="C74">
        <f t="shared" si="3"/>
        <v>9</v>
      </c>
    </row>
    <row r="75" spans="1:3" x14ac:dyDescent="0.25">
      <c r="A75">
        <f t="shared" si="4"/>
        <v>74</v>
      </c>
      <c r="B75">
        <f t="shared" si="5"/>
        <v>2</v>
      </c>
      <c r="C75">
        <f t="shared" si="3"/>
        <v>9</v>
      </c>
    </row>
    <row r="76" spans="1:3" x14ac:dyDescent="0.25">
      <c r="A76">
        <f t="shared" si="4"/>
        <v>75</v>
      </c>
      <c r="B76">
        <f t="shared" si="5"/>
        <v>3</v>
      </c>
      <c r="C76">
        <f t="shared" si="3"/>
        <v>9</v>
      </c>
    </row>
    <row r="77" spans="1:3" x14ac:dyDescent="0.25">
      <c r="A77">
        <f t="shared" si="4"/>
        <v>76</v>
      </c>
      <c r="B77">
        <f t="shared" si="5"/>
        <v>4</v>
      </c>
      <c r="C77">
        <f t="shared" si="3"/>
        <v>9</v>
      </c>
    </row>
    <row r="78" spans="1:3" x14ac:dyDescent="0.25">
      <c r="A78">
        <f t="shared" si="4"/>
        <v>77</v>
      </c>
      <c r="B78">
        <f t="shared" si="5"/>
        <v>5</v>
      </c>
      <c r="C78">
        <f t="shared" si="3"/>
        <v>9</v>
      </c>
    </row>
    <row r="79" spans="1:3" x14ac:dyDescent="0.25">
      <c r="A79">
        <f t="shared" si="4"/>
        <v>78</v>
      </c>
      <c r="B79">
        <f t="shared" si="5"/>
        <v>6</v>
      </c>
      <c r="C79">
        <f t="shared" si="3"/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Sheet7</vt:lpstr>
      <vt:lpstr>Sheet3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Whited</dc:creator>
  <cp:lastModifiedBy>Matthew Whited</cp:lastModifiedBy>
  <dcterms:created xsi:type="dcterms:W3CDTF">2021-03-03T12:46:31Z</dcterms:created>
  <dcterms:modified xsi:type="dcterms:W3CDTF">2021-03-04T04:33:57Z</dcterms:modified>
</cp:coreProperties>
</file>