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e4f4520578ef2c/Documents/My Computer Architecture/"/>
    </mc:Choice>
  </mc:AlternateContent>
  <xr:revisionPtr revIDLastSave="875" documentId="8_{5B3B5821-DF8B-4381-85E2-75693FB00517}" xr6:coauthVersionLast="46" xr6:coauthVersionMax="46" xr10:uidLastSave="{1737FF41-EBA5-4BA1-9DE1-DBE0FD09FFC4}"/>
  <bookViews>
    <workbookView xWindow="-28920" yWindow="-120" windowWidth="29040" windowHeight="15990" activeTab="3" xr2:uid="{8DBB89D0-2A12-4E3C-9A64-1032F906DA0F}"/>
  </bookViews>
  <sheets>
    <sheet name="CPU" sheetId="1" r:id="rId1"/>
    <sheet name="ALU" sheetId="2" r:id="rId2"/>
    <sheet name="OpCodes" sheetId="3" r:id="rId3"/>
    <sheet name="Row Column Decod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4" l="1"/>
  <c r="I6" i="4"/>
  <c r="I5" i="4"/>
  <c r="I4" i="4"/>
  <c r="I3" i="4"/>
  <c r="I2" i="4"/>
  <c r="I1" i="4"/>
  <c r="I8" i="4"/>
  <c r="H3" i="4"/>
  <c r="H4" i="4" s="1"/>
  <c r="H5" i="4" s="1"/>
  <c r="H6" i="4" s="1"/>
  <c r="H7" i="4" s="1"/>
  <c r="H8" i="4" s="1"/>
  <c r="H2" i="4"/>
  <c r="AJ2" i="3"/>
  <c r="AE2" i="3"/>
  <c r="W5" i="3"/>
  <c r="W4" i="3"/>
  <c r="W3" i="3"/>
  <c r="W2" i="3"/>
  <c r="W1" i="3"/>
  <c r="D10" i="1"/>
  <c r="D11" i="1" s="1"/>
  <c r="E14" i="2"/>
  <c r="E15" i="2" s="1"/>
  <c r="E12" i="2"/>
  <c r="E13" i="2" s="1"/>
  <c r="E9" i="2"/>
  <c r="E10" i="2" s="1"/>
  <c r="K3" i="2"/>
  <c r="K4" i="2" s="1"/>
  <c r="E2" i="2"/>
  <c r="E3" i="2" s="1"/>
  <c r="J4" i="1"/>
  <c r="J5" i="1"/>
  <c r="K5" i="1" s="1"/>
  <c r="J6" i="1"/>
  <c r="J7" i="1"/>
  <c r="K7" i="1" s="1"/>
  <c r="L4" i="1"/>
  <c r="L5" i="1"/>
  <c r="L6" i="1"/>
  <c r="L7" i="1"/>
  <c r="L3" i="1"/>
  <c r="J3" i="1"/>
  <c r="K3" i="1" s="1"/>
  <c r="K6" i="1" l="1"/>
  <c r="K4" i="1"/>
</calcChain>
</file>

<file path=xl/sharedStrings.xml><?xml version="1.0" encoding="utf-8"?>
<sst xmlns="http://schemas.openxmlformats.org/spreadsheetml/2006/main" count="267" uniqueCount="156">
  <si>
    <t>Name</t>
  </si>
  <si>
    <t>Use</t>
  </si>
  <si>
    <t>Vcc</t>
  </si>
  <si>
    <t>Ground</t>
  </si>
  <si>
    <t>Subsystem</t>
  </si>
  <si>
    <t>Power</t>
  </si>
  <si>
    <t>Gnd</t>
  </si>
  <si>
    <t>Voltage+</t>
  </si>
  <si>
    <t>External Interface</t>
  </si>
  <si>
    <t>Notation</t>
  </si>
  <si>
    <t>Bit width</t>
  </si>
  <si>
    <t>Slice</t>
  </si>
  <si>
    <t>Range</t>
  </si>
  <si>
    <t>Bus</t>
  </si>
  <si>
    <t>Data</t>
  </si>
  <si>
    <t>Address</t>
  </si>
  <si>
    <t>Control</t>
  </si>
  <si>
    <t>I/O Access</t>
  </si>
  <si>
    <t>I/O Address</t>
  </si>
  <si>
    <t>Max</t>
  </si>
  <si>
    <t>Registers</t>
  </si>
  <si>
    <t>Program Counter</t>
  </si>
  <si>
    <t>Stack Pointer</t>
  </si>
  <si>
    <t>Status</t>
  </si>
  <si>
    <t>A</t>
  </si>
  <si>
    <t>B</t>
  </si>
  <si>
    <t>Accumulator</t>
  </si>
  <si>
    <t>Status Flags</t>
  </si>
  <si>
    <t>Carry</t>
  </si>
  <si>
    <t>Zero</t>
  </si>
  <si>
    <t>Overflow</t>
  </si>
  <si>
    <t>Less than</t>
  </si>
  <si>
    <t xml:space="preserve">Sign </t>
  </si>
  <si>
    <t>Instructions</t>
  </si>
  <si>
    <t>Load</t>
  </si>
  <si>
    <t>Store</t>
  </si>
  <si>
    <t>Add</t>
  </si>
  <si>
    <t>Multiply Subtract</t>
  </si>
  <si>
    <t>Decerment</t>
  </si>
  <si>
    <t>Incerment</t>
  </si>
  <si>
    <t>Divide</t>
  </si>
  <si>
    <t>Invert</t>
  </si>
  <si>
    <t>AND</t>
  </si>
  <si>
    <t>XOR</t>
  </si>
  <si>
    <t>ALU</t>
  </si>
  <si>
    <t>Operations</t>
  </si>
  <si>
    <t>Multiple</t>
  </si>
  <si>
    <t>NOT</t>
  </si>
  <si>
    <t>NOR</t>
  </si>
  <si>
    <t>XNOR</t>
  </si>
  <si>
    <t>NAND</t>
  </si>
  <si>
    <t>A XOR FF =&gt; NOT</t>
  </si>
  <si>
    <t>OR</t>
  </si>
  <si>
    <t>A+1</t>
  </si>
  <si>
    <t>A-1</t>
  </si>
  <si>
    <t>A+!B+1</t>
  </si>
  <si>
    <t>Input A</t>
  </si>
  <si>
    <t>Input B</t>
  </si>
  <si>
    <t>Result</t>
  </si>
  <si>
    <t>One's Compliment</t>
  </si>
  <si>
    <t>Replaced By</t>
  </si>
  <si>
    <t>Other Name</t>
  </si>
  <si>
    <t>https://en.wikipedia.org/wiki/Arithmetic_logic_unit#</t>
  </si>
  <si>
    <t>ASL</t>
  </si>
  <si>
    <t>Arithmetic Shift Left</t>
  </si>
  <si>
    <t>ASR</t>
  </si>
  <si>
    <t>Arithmetic Shift Right</t>
  </si>
  <si>
    <t>LSL</t>
  </si>
  <si>
    <t>Logical Shift Left</t>
  </si>
  <si>
    <t>Logical Shift Right</t>
  </si>
  <si>
    <t>LSR</t>
  </si>
  <si>
    <t>Rotate Left</t>
  </si>
  <si>
    <t>Rotate Right</t>
  </si>
  <si>
    <t>RR</t>
  </si>
  <si>
    <t>RL</t>
  </si>
  <si>
    <t>RRwC</t>
  </si>
  <si>
    <t>RLwC</t>
  </si>
  <si>
    <t>Rotate Left with Carry</t>
  </si>
  <si>
    <t>Rotate Right with Carry</t>
  </si>
  <si>
    <t>ADDwC</t>
  </si>
  <si>
    <t>ADD</t>
  </si>
  <si>
    <t>SUB</t>
  </si>
  <si>
    <t>Subtraction</t>
  </si>
  <si>
    <t>Addition with Carry</t>
  </si>
  <si>
    <t>SUBwC</t>
  </si>
  <si>
    <t>Substraction with Borrow</t>
  </si>
  <si>
    <t>Modulus</t>
  </si>
  <si>
    <t>Reserved 1</t>
  </si>
  <si>
    <t>Reserved 2</t>
  </si>
  <si>
    <t>Reserved 3</t>
  </si>
  <si>
    <t>Reserved 4</t>
  </si>
  <si>
    <t>Reserved 5</t>
  </si>
  <si>
    <t>Reserved 6</t>
  </si>
  <si>
    <t>Instruction Set</t>
  </si>
  <si>
    <t>MMU</t>
  </si>
  <si>
    <t>FPU</t>
  </si>
  <si>
    <t>Jump/Branch</t>
  </si>
  <si>
    <t>Endian Swap?</t>
  </si>
  <si>
    <t>Operand Count</t>
  </si>
  <si>
    <t>Control Width</t>
  </si>
  <si>
    <t>1 operand operations</t>
  </si>
  <si>
    <t>https://en.wikipedia.org/wiki/Instruction_set_architecture</t>
  </si>
  <si>
    <t>FP A</t>
  </si>
  <si>
    <t>FP B</t>
  </si>
  <si>
    <t>FP Accumulator</t>
  </si>
  <si>
    <t>Reserved 0</t>
  </si>
  <si>
    <t>X</t>
  </si>
  <si>
    <t>C</t>
  </si>
  <si>
    <t>FFFFFFFFFFFFFFFF</t>
  </si>
  <si>
    <t>D</t>
  </si>
  <si>
    <t>E</t>
  </si>
  <si>
    <t>F</t>
  </si>
  <si>
    <t>Reserved</t>
  </si>
  <si>
    <t>I0[2:0]</t>
  </si>
  <si>
    <t>I1[0:2]</t>
  </si>
  <si>
    <t>O0[0:2]</t>
  </si>
  <si>
    <t>000</t>
  </si>
  <si>
    <t>FFFFFFFFFF</t>
  </si>
  <si>
    <t>FFFFFFFFFFFF</t>
  </si>
  <si>
    <t>FFFFFFFFFFFFFF</t>
  </si>
  <si>
    <t>Ctrl[3:0]</t>
  </si>
  <si>
    <t>11111111111</t>
  </si>
  <si>
    <t>V[1:0]</t>
  </si>
  <si>
    <t>Code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</si>
  <si>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</si>
  <si>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</si>
  <si>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</si>
  <si>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</si>
  <si>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</si>
  <si>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</si>
  <si>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</si>
  <si>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</si>
  <si>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</si>
  <si>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</si>
  <si>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DirectSet</t>
  </si>
  <si>
    <t>Register</t>
  </si>
  <si>
    <t>Value</t>
  </si>
  <si>
    <t>0000</t>
  </si>
  <si>
    <t>0001</t>
  </si>
  <si>
    <t>7FFF</t>
  </si>
  <si>
    <t>FFFF</t>
  </si>
  <si>
    <t>1111111111111111</t>
  </si>
  <si>
    <t>XXXXXXXXXXXXXXXX</t>
  </si>
  <si>
    <t>Operation</t>
  </si>
  <si>
    <t>{See table}</t>
  </si>
  <si>
    <t>NO-OP</t>
  </si>
  <si>
    <t>b0111</t>
  </si>
  <si>
    <t>b1011</t>
  </si>
  <si>
    <t>b1101</t>
  </si>
  <si>
    <t>b1110</t>
  </si>
  <si>
    <t>f</t>
  </si>
  <si>
    <t>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</si>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</sst>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3">
    <xf numFmtId="0" fontId="0" fillId="0" borderId="0" xfId="0"/>
    <xf numFmtId="0" fontId="0" fillId="0" borderId="0" xfId="0"/>
    <xf numFmtId="0" fontId="1" fillId="0" borderId="0" xfId="1"/>
    <xf numFmtId="0" fontId="0" fillId="0" borderId="0" xfId="2" applyNumberFormat="1" applyFont="1"/>
    <xf numFmtId="164" fontId="0" fillId="0" borderId="0" xfId="2" applyNumberFormat="1" applyFont="1"/>
    <xf numFmtId="0" fontId="0" fillId="0" borderId="0" xfId="0" quotePrefix="1"/>
    <xf numFmtId="0" fontId="4" fillId="2" borderId="0" xfId="3"/>
    <xf numFmtId="43" fontId="0" fillId="0" borderId="0" xfId="2" applyFont="1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quotePrefix="1" applyAlignment="1">
      <alignment horizontal="left"/>
    </xf>
    <xf numFmtId="0" fontId="5" fillId="3" borderId="0" xfId="4" applyAlignment="1">
      <alignment horizontal="center"/>
    </xf>
  </cellXfs>
  <cellStyles count="5">
    <cellStyle name="Bad" xfId="3" builtinId="27"/>
    <cellStyle name="Comma" xfId="2" builtinId="3"/>
    <cellStyle name="Hyperlink" xfId="1" builtinId="8"/>
    <cellStyle name="Neutral" xfId="4" builtinId="28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0EABC-2FC3-4995-84AA-0A524F1C15F2}" name="Table1" displayName="Table1" ref="E2:L7" totalsRowShown="0">
  <autoFilter ref="E2:L7" xr:uid="{EC593B62-F69B-421B-A0C3-E90E0F9DC0E2}"/>
  <tableColumns count="8">
    <tableColumn id="1" xr3:uid="{59BBB70A-5FB9-45CF-8C72-6290E71754F9}" name="Subsystem"/>
    <tableColumn id="2" xr3:uid="{8C000039-FB1A-4C81-B227-E0762FC9C8AC}" name="Name"/>
    <tableColumn id="3" xr3:uid="{D5149780-2FF6-47F3-9EE2-E9ED9CDFC83A}" name="Notation"/>
    <tableColumn id="4" xr3:uid="{1C2DE320-8EE8-48B6-887F-CC8798021E93}" name="Use"/>
    <tableColumn id="5" xr3:uid="{A6680793-E6E5-4011-A9BF-E9AAA6D29DFC}" name="Bit width"/>
    <tableColumn id="8" xr3:uid="{3ACAD69C-FAB8-476E-8861-2B26FB0EDD2B}" name="Max" dataDxfId="0">
      <calculatedColumnFormula>POWER(2,Table1[[#This Row],[Bit width]])-1</calculatedColumnFormula>
    </tableColumn>
    <tableColumn id="6" xr3:uid="{E7737973-73BD-4645-AAB9-ED4DDA52EF60}" name="Range">
      <calculatedColumnFormula>"0-" &amp; Table1[[#This Row],[Max]]</calculatedColumnFormula>
    </tableColumn>
    <tableColumn id="7" xr3:uid="{876BB2DC-9C01-49FD-A017-E1BE2E4F28A9}" name="Slice">
      <calculatedColumnFormula>"[0:"&amp;Table1[[#This Row],[Bit width]]-1&amp;"]"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9FAFC2-9BEA-42D9-890F-14A9590F4251}" name="Table3" displayName="Table3" ref="A2:C4" totalsRowShown="0">
  <autoFilter ref="A2:C4" xr:uid="{9C9B3812-26D8-4338-893F-481A1FF0A3C9}"/>
  <tableColumns count="3">
    <tableColumn id="1" xr3:uid="{5D637C61-0962-4DCF-A40C-1E7D2A47CC6A}" name="Subsystem"/>
    <tableColumn id="2" xr3:uid="{357C6B82-94D3-40CD-B760-E6F72E82FA6F}" name="Name"/>
    <tableColumn id="3" xr3:uid="{77CCAA10-AE96-4248-8DAE-28274B23039E}" name="Use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EE17BA-D052-4DAC-856D-DEBDE4859810}" name="Table2" displayName="Table2" ref="E9:E18" totalsRowShown="0">
  <autoFilter ref="E9:E18" xr:uid="{4BB18A43-26CC-48BD-8740-D0F2040D51E5}"/>
  <tableColumns count="1">
    <tableColumn id="1" xr3:uid="{E22C9827-B760-4386-930E-C0BBE5C6E03A}" name="Registers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7E5882-A37C-4097-B21B-1BB070DB99E1}" name="Table4" displayName="Table4" ref="G9:G14" totalsRowShown="0">
  <autoFilter ref="G9:G14" xr:uid="{7BA16F30-6CFE-476C-B390-31C3CAEE30EF}"/>
  <tableColumns count="1">
    <tableColumn id="1" xr3:uid="{EDD0A666-754B-4DC1-AB3F-1F25B747EEAF}" name="Status Flags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F8CC7B-E310-4D18-9C7D-19F13A3044CD}" name="Table5" displayName="Table5" ref="AB1:AC17" totalsRowShown="0">
  <autoFilter ref="AB1:AC17" xr:uid="{050ACAA1-74A9-4C98-9124-A4572280E75F}"/>
  <tableColumns count="2">
    <tableColumn id="2" xr3:uid="{50F1F6E8-9D45-406F-B8F7-323745C5332F}" name="Code"/>
    <tableColumn id="1" xr3:uid="{E8447AFB-1229-47A7-A954-47EC3D4C5266}" name="ALU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695CF-72DC-4AF9-8E55-3C1062409F94}" name="Table6" displayName="Table6" ref="Y1:Z9" totalsRowShown="0">
  <autoFilter ref="Y1:Z9" xr:uid="{2D776377-7242-4932-9FDB-7AF3F2CF6FB4}"/>
  <tableColumns count="2">
    <tableColumn id="1" xr3:uid="{E65FEF9E-9547-4D05-9A51-99BB39D54DA1}" name="Code"/>
    <tableColumn id="2" xr3:uid="{D0407D3D-B5B1-45DD-8214-F2DC21FF0D92}" name="Register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3E99D5-433E-4029-8AE0-31B965B078F6}" name="Table7" displayName="Table7" ref="Y11:Z15" totalsRowShown="0">
  <autoFilter ref="Y11:Z15" xr:uid="{D636A8A3-B466-4C29-B5EB-70FC8506BF04}"/>
  <tableColumns count="2">
    <tableColumn id="1" xr3:uid="{06AB3076-F5FB-41AA-AE9A-99A83B224E51}" name="Code"/>
    <tableColumn id="2" xr3:uid="{20B7BB0E-FF35-4379-9C11-60B400F08704}" name="Valu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hyperlink" Target="https://en.wikipedia.org/wiki/Instruction_set_architecture" TargetMode="Externa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Arithmetic_logic_uni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5E38-CBC7-4EB7-BCEE-5D84E12E0839}">
  <dimension ref="A1:P19"/>
  <sheetViews>
    <sheetView workbookViewId="0">
      <selection activeCell="O15" sqref="O12:O15"/>
    </sheetView>
  </sheetViews>
  <sheetFormatPr defaultRowHeight="15" x14ac:dyDescent="0.25"/>
  <cols>
    <col min="1" max="1" width="12.7109375" customWidth="1"/>
    <col min="2" max="2" width="11.7109375" bestFit="1" customWidth="1"/>
    <col min="3" max="3" width="8.85546875" bestFit="1" customWidth="1"/>
    <col min="5" max="5" width="16.140625" bestFit="1" customWidth="1"/>
    <col min="6" max="6" width="11.5703125" bestFit="1" customWidth="1"/>
    <col min="7" max="7" width="13.42578125" customWidth="1"/>
    <col min="8" max="8" width="6.42578125" customWidth="1"/>
    <col min="9" max="9" width="11.140625" customWidth="1"/>
    <col min="10" max="10" width="11.140625" style="1" customWidth="1"/>
    <col min="11" max="11" width="23.140625" bestFit="1" customWidth="1"/>
    <col min="14" max="14" width="13" bestFit="1" customWidth="1"/>
    <col min="15" max="15" width="11.7109375" bestFit="1" customWidth="1"/>
  </cols>
  <sheetData>
    <row r="1" spans="1:16" x14ac:dyDescent="0.25">
      <c r="A1" s="9" t="s">
        <v>8</v>
      </c>
      <c r="B1" s="9"/>
      <c r="C1" s="9"/>
      <c r="N1" s="2" t="s">
        <v>101</v>
      </c>
    </row>
    <row r="2" spans="1:16" x14ac:dyDescent="0.25">
      <c r="A2" t="s">
        <v>4</v>
      </c>
      <c r="B2" t="s">
        <v>0</v>
      </c>
      <c r="C2" t="s">
        <v>1</v>
      </c>
      <c r="E2" t="s">
        <v>4</v>
      </c>
      <c r="F2" t="s">
        <v>0</v>
      </c>
      <c r="G2" t="s">
        <v>9</v>
      </c>
      <c r="H2" t="s">
        <v>1</v>
      </c>
      <c r="I2" t="s">
        <v>10</v>
      </c>
      <c r="J2" s="1" t="s">
        <v>19</v>
      </c>
      <c r="K2" t="s">
        <v>12</v>
      </c>
      <c r="L2" t="s">
        <v>11</v>
      </c>
      <c r="N2" t="s">
        <v>93</v>
      </c>
    </row>
    <row r="3" spans="1:16" x14ac:dyDescent="0.25">
      <c r="A3" t="s">
        <v>5</v>
      </c>
      <c r="B3" t="s">
        <v>2</v>
      </c>
      <c r="C3" t="s">
        <v>7</v>
      </c>
      <c r="E3" t="s">
        <v>13</v>
      </c>
      <c r="F3" t="s">
        <v>14</v>
      </c>
      <c r="I3">
        <v>16</v>
      </c>
      <c r="J3" s="1">
        <f>POWER(2,Table1[[#This Row],[Bit width]])-1</f>
        <v>65535</v>
      </c>
      <c r="K3" t="str">
        <f>"0-" &amp; Table1[[#This Row],[Max]]</f>
        <v>0-65535</v>
      </c>
      <c r="L3" t="str">
        <f>"[0:"&amp;Table1[[#This Row],[Bit width]]-1&amp;"]"</f>
        <v>[0:15]</v>
      </c>
      <c r="O3" t="s">
        <v>44</v>
      </c>
      <c r="P3" t="s">
        <v>95</v>
      </c>
    </row>
    <row r="4" spans="1:16" x14ac:dyDescent="0.25">
      <c r="A4" t="s">
        <v>5</v>
      </c>
      <c r="B4" t="s">
        <v>6</v>
      </c>
      <c r="C4" t="s">
        <v>3</v>
      </c>
      <c r="E4" t="s">
        <v>13</v>
      </c>
      <c r="F4" t="s">
        <v>15</v>
      </c>
      <c r="I4">
        <v>24</v>
      </c>
      <c r="J4" s="1">
        <f>POWER(2,Table1[[#This Row],[Bit width]])-1</f>
        <v>16777215</v>
      </c>
      <c r="K4" s="1" t="str">
        <f>"0-" &amp; Table1[[#This Row],[Max]]</f>
        <v>0-16777215</v>
      </c>
      <c r="L4" s="1" t="str">
        <f>"[0:"&amp;Table1[[#This Row],[Bit width]]-1&amp;"]"</f>
        <v>[0:23]</v>
      </c>
      <c r="O4" t="s">
        <v>94</v>
      </c>
    </row>
    <row r="5" spans="1:16" x14ac:dyDescent="0.25">
      <c r="E5" t="s">
        <v>13</v>
      </c>
      <c r="F5" t="s">
        <v>16</v>
      </c>
      <c r="I5">
        <v>16</v>
      </c>
      <c r="J5" s="1">
        <f>POWER(2,Table1[[#This Row],[Bit width]])-1</f>
        <v>65535</v>
      </c>
      <c r="K5" s="1" t="str">
        <f>"0-" &amp; Table1[[#This Row],[Max]]</f>
        <v>0-65535</v>
      </c>
      <c r="L5" s="1" t="str">
        <f>"[0:"&amp;Table1[[#This Row],[Bit width]]-1&amp;"]"</f>
        <v>[0:15]</v>
      </c>
    </row>
    <row r="6" spans="1:16" x14ac:dyDescent="0.25">
      <c r="E6" s="1" t="s">
        <v>13</v>
      </c>
      <c r="F6" t="s">
        <v>17</v>
      </c>
      <c r="I6">
        <v>8</v>
      </c>
      <c r="J6" s="1">
        <f>POWER(2,Table1[[#This Row],[Bit width]])-1</f>
        <v>255</v>
      </c>
      <c r="K6" s="1" t="str">
        <f>"0-" &amp; Table1[[#This Row],[Max]]</f>
        <v>0-255</v>
      </c>
      <c r="L6" s="1" t="str">
        <f>"[0:"&amp;Table1[[#This Row],[Bit width]]-1&amp;"]"</f>
        <v>[0:7]</v>
      </c>
      <c r="O6" t="s">
        <v>96</v>
      </c>
    </row>
    <row r="7" spans="1:16" x14ac:dyDescent="0.25">
      <c r="E7" s="1" t="s">
        <v>13</v>
      </c>
      <c r="F7" t="s">
        <v>18</v>
      </c>
      <c r="I7">
        <v>24</v>
      </c>
      <c r="J7" s="1">
        <f>POWER(2,Table1[[#This Row],[Bit width]])-1</f>
        <v>16777215</v>
      </c>
      <c r="K7" s="1" t="str">
        <f>"0-" &amp; Table1[[#This Row],[Max]]</f>
        <v>0-16777215</v>
      </c>
      <c r="L7" s="1" t="str">
        <f>"[0:"&amp;Table1[[#This Row],[Bit width]]-1&amp;"]"</f>
        <v>[0:23]</v>
      </c>
    </row>
    <row r="9" spans="1:16" x14ac:dyDescent="0.25">
      <c r="E9" t="s">
        <v>20</v>
      </c>
      <c r="G9" t="s">
        <v>27</v>
      </c>
      <c r="I9" t="s">
        <v>33</v>
      </c>
    </row>
    <row r="10" spans="1:16" x14ac:dyDescent="0.25">
      <c r="D10">
        <f>COUNTA(Table2[Registers])</f>
        <v>9</v>
      </c>
      <c r="E10" t="s">
        <v>21</v>
      </c>
      <c r="G10" t="s">
        <v>28</v>
      </c>
      <c r="I10" t="s">
        <v>34</v>
      </c>
    </row>
    <row r="11" spans="1:16" x14ac:dyDescent="0.25">
      <c r="D11">
        <f>D10*16</f>
        <v>144</v>
      </c>
      <c r="E11" t="s">
        <v>22</v>
      </c>
      <c r="G11" t="s">
        <v>29</v>
      </c>
      <c r="I11" t="s">
        <v>35</v>
      </c>
    </row>
    <row r="12" spans="1:16" x14ac:dyDescent="0.25">
      <c r="E12" t="s">
        <v>23</v>
      </c>
      <c r="G12" t="s">
        <v>30</v>
      </c>
      <c r="I12" t="s">
        <v>36</v>
      </c>
    </row>
    <row r="13" spans="1:16" x14ac:dyDescent="0.25">
      <c r="E13" t="s">
        <v>24</v>
      </c>
      <c r="G13" t="s">
        <v>31</v>
      </c>
      <c r="I13" t="s">
        <v>37</v>
      </c>
    </row>
    <row r="14" spans="1:16" x14ac:dyDescent="0.25">
      <c r="E14" t="s">
        <v>25</v>
      </c>
      <c r="G14" t="s">
        <v>32</v>
      </c>
      <c r="I14" t="s">
        <v>38</v>
      </c>
    </row>
    <row r="15" spans="1:16" x14ac:dyDescent="0.25">
      <c r="E15" t="s">
        <v>26</v>
      </c>
      <c r="I15" t="s">
        <v>39</v>
      </c>
    </row>
    <row r="16" spans="1:16" x14ac:dyDescent="0.25">
      <c r="E16" t="s">
        <v>102</v>
      </c>
      <c r="I16" t="s">
        <v>40</v>
      </c>
    </row>
    <row r="17" spans="5:9" x14ac:dyDescent="0.25">
      <c r="E17" t="s">
        <v>103</v>
      </c>
      <c r="I17" t="s">
        <v>41</v>
      </c>
    </row>
    <row r="18" spans="5:9" x14ac:dyDescent="0.25">
      <c r="E18" t="s">
        <v>104</v>
      </c>
      <c r="I18" t="s">
        <v>42</v>
      </c>
    </row>
    <row r="19" spans="5:9" x14ac:dyDescent="0.25">
      <c r="I19" t="s">
        <v>43</v>
      </c>
    </row>
  </sheetData>
  <mergeCells count="1">
    <mergeCell ref="A1:C1"/>
  </mergeCells>
  <hyperlinks>
    <hyperlink ref="N1" r:id="rId1" xr:uid="{F6F6DD94-BCCA-4228-9249-6BB756C525EF}"/>
  </hyperlinks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9F47-73DB-434D-8A6D-27B8D414C9CE}">
  <dimension ref="A1:M34"/>
  <sheetViews>
    <sheetView workbookViewId="0">
      <selection activeCell="M11" sqref="M11"/>
    </sheetView>
  </sheetViews>
  <sheetFormatPr defaultRowHeight="15" x14ac:dyDescent="0.25"/>
  <cols>
    <col min="1" max="1" width="12.28515625" bestFit="1" customWidth="1"/>
    <col min="2" max="2" width="13.5703125" style="1" bestFit="1" customWidth="1"/>
    <col min="3" max="3" width="14.5703125" style="1" bestFit="1" customWidth="1"/>
    <col min="4" max="4" width="22" style="1" bestFit="1" customWidth="1"/>
    <col min="5" max="5" width="2.7109375" style="1" customWidth="1"/>
    <col min="6" max="6" width="18.7109375" bestFit="1" customWidth="1"/>
    <col min="11" max="11" width="10.7109375" bestFit="1" customWidth="1"/>
    <col min="13" max="13" width="13.28515625" bestFit="1" customWidth="1"/>
  </cols>
  <sheetData>
    <row r="1" spans="1:13" s="1" customFormat="1" x14ac:dyDescent="0.25">
      <c r="A1" s="10" t="s">
        <v>62</v>
      </c>
      <c r="B1" s="10"/>
      <c r="C1" s="10"/>
      <c r="D1" s="10"/>
      <c r="E1" s="10"/>
      <c r="K1" s="1">
        <v>65535</v>
      </c>
    </row>
    <row r="2" spans="1:13" x14ac:dyDescent="0.25">
      <c r="A2" t="s">
        <v>45</v>
      </c>
      <c r="B2" s="1" t="s">
        <v>98</v>
      </c>
      <c r="C2" s="1" t="s">
        <v>60</v>
      </c>
      <c r="D2" s="1" t="s">
        <v>61</v>
      </c>
      <c r="E2" s="1">
        <f>COUNTA(A:A)-1</f>
        <v>33</v>
      </c>
      <c r="F2" t="s">
        <v>45</v>
      </c>
      <c r="K2">
        <v>65535</v>
      </c>
      <c r="M2" s="1" t="s">
        <v>63</v>
      </c>
    </row>
    <row r="3" spans="1:13" x14ac:dyDescent="0.25">
      <c r="A3" t="s">
        <v>39</v>
      </c>
      <c r="B3" s="1">
        <v>1</v>
      </c>
      <c r="C3" s="1" t="s">
        <v>53</v>
      </c>
      <c r="E3" s="1">
        <f>_xlfn.CEILING.MATH(LOG(E2,2))</f>
        <v>6</v>
      </c>
      <c r="F3" t="s">
        <v>99</v>
      </c>
      <c r="H3" s="1" t="s">
        <v>80</v>
      </c>
      <c r="K3">
        <f>K2*K1</f>
        <v>4294836225</v>
      </c>
      <c r="M3" s="1" t="s">
        <v>65</v>
      </c>
    </row>
    <row r="4" spans="1:13" x14ac:dyDescent="0.25">
      <c r="A4" t="s">
        <v>38</v>
      </c>
      <c r="B4" s="1">
        <v>1</v>
      </c>
      <c r="C4" s="1" t="s">
        <v>54</v>
      </c>
      <c r="F4" t="s">
        <v>56</v>
      </c>
      <c r="H4" s="1" t="s">
        <v>81</v>
      </c>
      <c r="K4" t="str">
        <f>DEC2HEX(K3)</f>
        <v>FFFE0001</v>
      </c>
      <c r="M4" s="1" t="s">
        <v>67</v>
      </c>
    </row>
    <row r="5" spans="1:13" x14ac:dyDescent="0.25">
      <c r="A5" t="s">
        <v>63</v>
      </c>
      <c r="B5" s="1">
        <v>1</v>
      </c>
      <c r="D5" s="1" t="s">
        <v>64</v>
      </c>
      <c r="F5" t="s">
        <v>57</v>
      </c>
      <c r="H5" s="1" t="s">
        <v>46</v>
      </c>
      <c r="M5" s="1" t="s">
        <v>70</v>
      </c>
    </row>
    <row r="6" spans="1:13" x14ac:dyDescent="0.25">
      <c r="A6" t="s">
        <v>65</v>
      </c>
      <c r="B6" s="1">
        <v>1</v>
      </c>
      <c r="D6" s="1" t="s">
        <v>66</v>
      </c>
      <c r="F6" t="s">
        <v>58</v>
      </c>
      <c r="H6" s="1" t="s">
        <v>40</v>
      </c>
      <c r="M6" s="1" t="s">
        <v>74</v>
      </c>
    </row>
    <row r="7" spans="1:13" x14ac:dyDescent="0.25">
      <c r="A7" t="s">
        <v>67</v>
      </c>
      <c r="B7" s="1">
        <v>1</v>
      </c>
      <c r="D7" s="1" t="s">
        <v>68</v>
      </c>
      <c r="F7" t="s">
        <v>23</v>
      </c>
      <c r="H7" s="1" t="s">
        <v>43</v>
      </c>
      <c r="M7" s="1" t="s">
        <v>73</v>
      </c>
    </row>
    <row r="8" spans="1:13" x14ac:dyDescent="0.25">
      <c r="A8" t="s">
        <v>70</v>
      </c>
      <c r="B8" s="1">
        <v>1</v>
      </c>
      <c r="D8" s="1" t="s">
        <v>69</v>
      </c>
      <c r="H8" s="1" t="s">
        <v>42</v>
      </c>
      <c r="M8" s="1" t="s">
        <v>76</v>
      </c>
    </row>
    <row r="9" spans="1:13" x14ac:dyDescent="0.25">
      <c r="A9" t="s">
        <v>74</v>
      </c>
      <c r="B9" s="1">
        <v>1</v>
      </c>
      <c r="D9" s="1" t="s">
        <v>71</v>
      </c>
      <c r="E9" s="1">
        <f>COUNTA(B:B)-1</f>
        <v>32</v>
      </c>
      <c r="F9" s="1" t="s">
        <v>45</v>
      </c>
      <c r="H9" s="1" t="s">
        <v>47</v>
      </c>
      <c r="M9" s="1" t="s">
        <v>75</v>
      </c>
    </row>
    <row r="10" spans="1:13" x14ac:dyDescent="0.25">
      <c r="A10" t="s">
        <v>73</v>
      </c>
      <c r="B10" s="1">
        <v>1</v>
      </c>
      <c r="D10" s="1" t="s">
        <v>72</v>
      </c>
      <c r="E10" s="1">
        <f>_xlfn.CEILING.MATH(LOG(E9,2))</f>
        <v>5</v>
      </c>
      <c r="F10" s="1" t="s">
        <v>99</v>
      </c>
      <c r="H10" s="1" t="s">
        <v>48</v>
      </c>
      <c r="M10" s="1" t="s">
        <v>80</v>
      </c>
    </row>
    <row r="11" spans="1:13" x14ac:dyDescent="0.25">
      <c r="A11" t="s">
        <v>76</v>
      </c>
      <c r="B11" s="1">
        <v>1</v>
      </c>
      <c r="D11" s="1" t="s">
        <v>77</v>
      </c>
      <c r="H11" s="1" t="s">
        <v>49</v>
      </c>
      <c r="M11" s="1" t="s">
        <v>81</v>
      </c>
    </row>
    <row r="12" spans="1:13" x14ac:dyDescent="0.25">
      <c r="A12" t="s">
        <v>75</v>
      </c>
      <c r="B12" s="1">
        <v>1</v>
      </c>
      <c r="D12" s="1" t="s">
        <v>78</v>
      </c>
      <c r="E12" s="1">
        <f>COUNTIF(B:B,"=1")</f>
        <v>16</v>
      </c>
      <c r="F12" t="s">
        <v>100</v>
      </c>
      <c r="H12" s="1" t="s">
        <v>50</v>
      </c>
      <c r="M12" s="1" t="s">
        <v>46</v>
      </c>
    </row>
    <row r="13" spans="1:13" x14ac:dyDescent="0.25">
      <c r="A13" t="s">
        <v>79</v>
      </c>
      <c r="B13" s="1">
        <v>1</v>
      </c>
      <c r="D13" s="1" t="s">
        <v>83</v>
      </c>
      <c r="E13" s="1">
        <f>_xlfn.CEILING.MATH(LOG(E12,2))</f>
        <v>4</v>
      </c>
      <c r="F13" s="1" t="s">
        <v>99</v>
      </c>
      <c r="H13" s="1" t="s">
        <v>52</v>
      </c>
      <c r="M13" s="1" t="s">
        <v>40</v>
      </c>
    </row>
    <row r="14" spans="1:13" x14ac:dyDescent="0.25">
      <c r="A14" t="s">
        <v>84</v>
      </c>
      <c r="B14" s="1">
        <v>1</v>
      </c>
      <c r="D14" s="1" t="s">
        <v>85</v>
      </c>
      <c r="E14" s="1">
        <f>COUNTIF(B:B,"=2")</f>
        <v>16</v>
      </c>
      <c r="F14" s="1" t="s">
        <v>100</v>
      </c>
      <c r="H14" s="1" t="s">
        <v>63</v>
      </c>
      <c r="M14" s="1" t="s">
        <v>86</v>
      </c>
    </row>
    <row r="15" spans="1:13" x14ac:dyDescent="0.25">
      <c r="A15" t="s">
        <v>97</v>
      </c>
      <c r="B15" s="1">
        <v>1</v>
      </c>
      <c r="E15" s="1">
        <f>_xlfn.CEILING.MATH(LOG(E14,2))</f>
        <v>4</v>
      </c>
      <c r="F15" s="1" t="s">
        <v>99</v>
      </c>
      <c r="H15" s="1" t="s">
        <v>65</v>
      </c>
      <c r="M15" s="1" t="s">
        <v>43</v>
      </c>
    </row>
    <row r="16" spans="1:13" x14ac:dyDescent="0.25">
      <c r="A16" t="s">
        <v>105</v>
      </c>
      <c r="B16" s="1">
        <v>1</v>
      </c>
      <c r="H16" s="1" t="s">
        <v>67</v>
      </c>
      <c r="M16" s="1" t="s">
        <v>42</v>
      </c>
    </row>
    <row r="17" spans="1:13" x14ac:dyDescent="0.25">
      <c r="A17" t="s">
        <v>87</v>
      </c>
      <c r="B17" s="1">
        <v>1</v>
      </c>
      <c r="H17" s="1" t="s">
        <v>70</v>
      </c>
      <c r="M17" s="1" t="s">
        <v>52</v>
      </c>
    </row>
    <row r="18" spans="1:13" x14ac:dyDescent="0.25">
      <c r="A18" t="s">
        <v>88</v>
      </c>
      <c r="B18" s="1">
        <v>1</v>
      </c>
      <c r="H18" s="1" t="s">
        <v>74</v>
      </c>
    </row>
    <row r="19" spans="1:13" x14ac:dyDescent="0.25">
      <c r="A19" t="s">
        <v>80</v>
      </c>
      <c r="B19" s="1">
        <v>2</v>
      </c>
      <c r="C19" s="1" t="s">
        <v>24</v>
      </c>
      <c r="H19" s="1" t="s">
        <v>73</v>
      </c>
    </row>
    <row r="20" spans="1:13" x14ac:dyDescent="0.25">
      <c r="A20" t="s">
        <v>81</v>
      </c>
      <c r="B20" s="1">
        <v>2</v>
      </c>
      <c r="C20" s="1" t="s">
        <v>55</v>
      </c>
      <c r="D20" s="1" t="s">
        <v>82</v>
      </c>
      <c r="H20" s="1" t="s">
        <v>76</v>
      </c>
    </row>
    <row r="21" spans="1:13" x14ac:dyDescent="0.25">
      <c r="A21" t="s">
        <v>46</v>
      </c>
      <c r="B21" s="1">
        <v>2</v>
      </c>
      <c r="H21" s="1" t="s">
        <v>75</v>
      </c>
    </row>
    <row r="22" spans="1:13" x14ac:dyDescent="0.25">
      <c r="A22" t="s">
        <v>40</v>
      </c>
      <c r="B22" s="1">
        <v>2</v>
      </c>
      <c r="H22" s="1" t="s">
        <v>79</v>
      </c>
    </row>
    <row r="23" spans="1:13" x14ac:dyDescent="0.25">
      <c r="A23" t="s">
        <v>43</v>
      </c>
      <c r="B23" s="1">
        <v>2</v>
      </c>
      <c r="C23" s="1" t="s">
        <v>51</v>
      </c>
      <c r="H23" s="1" t="s">
        <v>84</v>
      </c>
    </row>
    <row r="24" spans="1:13" x14ac:dyDescent="0.25">
      <c r="A24" t="s">
        <v>42</v>
      </c>
      <c r="B24" s="1">
        <v>2</v>
      </c>
    </row>
    <row r="25" spans="1:13" x14ac:dyDescent="0.25">
      <c r="A25" t="s">
        <v>47</v>
      </c>
      <c r="B25" s="1">
        <v>2</v>
      </c>
      <c r="D25" s="1" t="s">
        <v>59</v>
      </c>
    </row>
    <row r="26" spans="1:13" x14ac:dyDescent="0.25">
      <c r="A26" t="s">
        <v>48</v>
      </c>
      <c r="B26" s="1">
        <v>2</v>
      </c>
    </row>
    <row r="27" spans="1:13" x14ac:dyDescent="0.25">
      <c r="A27" t="s">
        <v>49</v>
      </c>
      <c r="B27" s="1">
        <v>2</v>
      </c>
    </row>
    <row r="28" spans="1:13" x14ac:dyDescent="0.25">
      <c r="A28" s="1" t="s">
        <v>50</v>
      </c>
      <c r="B28" s="1">
        <v>2</v>
      </c>
      <c r="F28" s="1"/>
    </row>
    <row r="29" spans="1:13" x14ac:dyDescent="0.25">
      <c r="A29" s="1" t="s">
        <v>52</v>
      </c>
      <c r="B29" s="1">
        <v>2</v>
      </c>
    </row>
    <row r="30" spans="1:13" x14ac:dyDescent="0.25">
      <c r="A30" s="1" t="s">
        <v>86</v>
      </c>
      <c r="B30" s="1">
        <v>2</v>
      </c>
    </row>
    <row r="31" spans="1:13" x14ac:dyDescent="0.25">
      <c r="A31" s="1" t="s">
        <v>89</v>
      </c>
      <c r="B31" s="1">
        <v>2</v>
      </c>
    </row>
    <row r="32" spans="1:13" x14ac:dyDescent="0.25">
      <c r="A32" s="1" t="s">
        <v>90</v>
      </c>
      <c r="B32" s="1">
        <v>2</v>
      </c>
    </row>
    <row r="33" spans="1:2" x14ac:dyDescent="0.25">
      <c r="A33" s="1" t="s">
        <v>91</v>
      </c>
      <c r="B33" s="1">
        <v>2</v>
      </c>
    </row>
    <row r="34" spans="1:2" x14ac:dyDescent="0.25">
      <c r="A34" s="1" t="s">
        <v>92</v>
      </c>
      <c r="B34" s="1">
        <v>2</v>
      </c>
    </row>
  </sheetData>
  <sortState xmlns:xlrd2="http://schemas.microsoft.com/office/spreadsheetml/2017/richdata2" ref="A3:F34">
    <sortCondition ref="B3:B34"/>
  </sortState>
  <mergeCells count="1">
    <mergeCell ref="A1:E1"/>
  </mergeCells>
  <phoneticPr fontId="2" type="noConversion"/>
  <hyperlinks>
    <hyperlink ref="A1" r:id="rId1" xr:uid="{90AB0AFB-DCB8-4D9A-BEA3-33AC77BEB44D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024E8-05BD-46E1-A844-3CEC67781F61}">
  <dimension ref="A1:AJ17"/>
  <sheetViews>
    <sheetView topLeftCell="J1" workbookViewId="0">
      <selection activeCell="AE16" sqref="AE16"/>
    </sheetView>
  </sheetViews>
  <sheetFormatPr defaultRowHeight="15" x14ac:dyDescent="0.25"/>
  <cols>
    <col min="1" max="1" width="19.5703125" bestFit="1" customWidth="1"/>
    <col min="2" max="17" width="3.28515625" customWidth="1"/>
    <col min="18" max="18" width="10.5703125" bestFit="1" customWidth="1"/>
    <col min="19" max="19" width="17.28515625" bestFit="1" customWidth="1"/>
    <col min="20" max="20" width="9.140625" style="1"/>
    <col min="21" max="21" width="3" bestFit="1" customWidth="1"/>
    <col min="22" max="22" width="26.42578125" style="4" bestFit="1" customWidth="1"/>
    <col min="23" max="23" width="17.28515625" bestFit="1" customWidth="1"/>
    <col min="25" max="25" width="7.85546875" bestFit="1" customWidth="1"/>
    <col min="26" max="26" width="16.140625" bestFit="1" customWidth="1"/>
    <col min="28" max="28" width="7.85546875" bestFit="1" customWidth="1"/>
    <col min="29" max="29" width="8.7109375" bestFit="1" customWidth="1"/>
    <col min="31" max="31" width="10" customWidth="1"/>
    <col min="35" max="35" width="15.28515625" bestFit="1" customWidth="1"/>
  </cols>
  <sheetData>
    <row r="1" spans="1:36" x14ac:dyDescent="0.25">
      <c r="A1" s="1" t="s">
        <v>142</v>
      </c>
      <c r="B1" s="1" t="s">
        <v>106</v>
      </c>
      <c r="C1" s="1" t="s">
        <v>106</v>
      </c>
      <c r="D1" s="1" t="s">
        <v>106</v>
      </c>
      <c r="E1" s="1" t="s">
        <v>106</v>
      </c>
      <c r="F1" s="1" t="s">
        <v>106</v>
      </c>
      <c r="G1" s="1" t="s">
        <v>106</v>
      </c>
      <c r="H1" s="1" t="s">
        <v>106</v>
      </c>
      <c r="I1" s="1" t="s">
        <v>106</v>
      </c>
      <c r="J1" s="1" t="s">
        <v>106</v>
      </c>
      <c r="K1" s="1" t="s">
        <v>106</v>
      </c>
      <c r="L1" s="1" t="s">
        <v>106</v>
      </c>
      <c r="M1" s="1" t="s">
        <v>106</v>
      </c>
      <c r="N1" s="1" t="s">
        <v>106</v>
      </c>
      <c r="O1" s="1" t="s">
        <v>106</v>
      </c>
      <c r="P1" s="1" t="s">
        <v>106</v>
      </c>
      <c r="Q1" s="1" t="s">
        <v>106</v>
      </c>
      <c r="R1" t="s">
        <v>4</v>
      </c>
      <c r="S1" t="s">
        <v>143</v>
      </c>
      <c r="U1">
        <v>4</v>
      </c>
      <c r="V1" s="4">
        <v>15</v>
      </c>
      <c r="W1" t="str">
        <f>DEC2HEX(V1)</f>
        <v>F</v>
      </c>
      <c r="Y1" t="s">
        <v>123</v>
      </c>
      <c r="Z1" t="s">
        <v>135</v>
      </c>
      <c r="AB1" t="s">
        <v>123</v>
      </c>
      <c r="AC1" t="s">
        <v>44</v>
      </c>
    </row>
    <row r="2" spans="1:36" x14ac:dyDescent="0.25">
      <c r="A2" s="5" t="s">
        <v>141</v>
      </c>
      <c r="B2" s="11" t="s">
        <v>116</v>
      </c>
      <c r="C2" s="11"/>
      <c r="D2" s="11"/>
      <c r="E2" s="12" t="s">
        <v>115</v>
      </c>
      <c r="F2" s="12"/>
      <c r="G2" s="12"/>
      <c r="H2" s="12" t="s">
        <v>114</v>
      </c>
      <c r="I2" s="12"/>
      <c r="J2" s="12"/>
      <c r="K2" s="12" t="s">
        <v>113</v>
      </c>
      <c r="L2" s="12"/>
      <c r="M2" s="12"/>
      <c r="N2" s="9" t="s">
        <v>120</v>
      </c>
      <c r="O2" s="9"/>
      <c r="P2" s="9"/>
      <c r="Q2" s="9"/>
      <c r="R2" t="s">
        <v>44</v>
      </c>
      <c r="S2" t="s">
        <v>144</v>
      </c>
      <c r="U2" s="3">
        <v>8</v>
      </c>
      <c r="V2" s="4">
        <v>255</v>
      </c>
      <c r="W2" s="1" t="str">
        <f t="shared" ref="W2:W5" si="0">DEC2HEX(V2)</f>
        <v>FF</v>
      </c>
      <c r="Y2">
        <v>0</v>
      </c>
      <c r="Z2" s="5" t="s">
        <v>24</v>
      </c>
      <c r="AB2" s="5" t="s">
        <v>124</v>
      </c>
      <c r="AC2" t="s">
        <v>63</v>
      </c>
      <c r="AE2">
        <f>7*7*7</f>
        <v>343</v>
      </c>
      <c r="AH2">
        <v>4</v>
      </c>
      <c r="AI2">
        <v>8</v>
      </c>
      <c r="AJ2">
        <f>AI2*AH2</f>
        <v>32</v>
      </c>
    </row>
    <row r="3" spans="1:36" x14ac:dyDescent="0.25">
      <c r="A3" s="5" t="s">
        <v>141</v>
      </c>
      <c r="B3" s="11" t="s">
        <v>121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2" t="s">
        <v>115</v>
      </c>
      <c r="N3" s="12"/>
      <c r="O3" s="12"/>
      <c r="P3" s="9" t="s">
        <v>122</v>
      </c>
      <c r="Q3" s="9"/>
      <c r="R3" t="s">
        <v>134</v>
      </c>
      <c r="U3">
        <v>16</v>
      </c>
      <c r="V3" s="4">
        <v>65535</v>
      </c>
      <c r="W3" s="1" t="str">
        <f t="shared" si="0"/>
        <v>FFFF</v>
      </c>
      <c r="Y3">
        <v>1</v>
      </c>
      <c r="Z3" s="5" t="s">
        <v>25</v>
      </c>
      <c r="AB3" s="5" t="s">
        <v>125</v>
      </c>
      <c r="AC3" t="s">
        <v>65</v>
      </c>
    </row>
    <row r="4" spans="1:36" x14ac:dyDescent="0.25">
      <c r="A4" s="5" t="s">
        <v>141</v>
      </c>
      <c r="B4" s="11" t="s">
        <v>141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t="s">
        <v>145</v>
      </c>
      <c r="S4" s="5"/>
      <c r="U4">
        <v>24</v>
      </c>
      <c r="V4" s="4">
        <v>16777215</v>
      </c>
      <c r="W4" s="1" t="str">
        <f t="shared" si="0"/>
        <v>FFFFFF</v>
      </c>
      <c r="Y4">
        <v>2</v>
      </c>
      <c r="Z4" t="s">
        <v>107</v>
      </c>
      <c r="AB4" s="5" t="s">
        <v>126</v>
      </c>
      <c r="AC4" t="s">
        <v>67</v>
      </c>
    </row>
    <row r="5" spans="1:36" x14ac:dyDescent="0.25">
      <c r="U5">
        <v>32</v>
      </c>
      <c r="V5" s="4">
        <v>4294967295</v>
      </c>
      <c r="W5" s="1" t="str">
        <f t="shared" si="0"/>
        <v>FFFFFFFF</v>
      </c>
      <c r="Y5">
        <v>3</v>
      </c>
      <c r="Z5" t="s">
        <v>109</v>
      </c>
      <c r="AB5" s="5" t="s">
        <v>127</v>
      </c>
      <c r="AC5" t="s">
        <v>70</v>
      </c>
      <c r="AI5" s="7"/>
    </row>
    <row r="6" spans="1:36" x14ac:dyDescent="0.25">
      <c r="U6">
        <v>40</v>
      </c>
      <c r="V6" s="4">
        <v>1099511627775</v>
      </c>
      <c r="W6" t="s">
        <v>117</v>
      </c>
      <c r="Y6">
        <v>4</v>
      </c>
      <c r="Z6" t="s">
        <v>112</v>
      </c>
      <c r="AB6" s="5" t="s">
        <v>128</v>
      </c>
      <c r="AC6" t="s">
        <v>74</v>
      </c>
      <c r="AI6" s="8"/>
    </row>
    <row r="7" spans="1:36" x14ac:dyDescent="0.25">
      <c r="U7">
        <v>48</v>
      </c>
      <c r="V7" s="4">
        <v>281474976710655</v>
      </c>
      <c r="W7" s="1" t="s">
        <v>118</v>
      </c>
      <c r="Y7">
        <v>5</v>
      </c>
      <c r="Z7" t="s">
        <v>22</v>
      </c>
      <c r="AB7" s="5" t="s">
        <v>129</v>
      </c>
      <c r="AC7" t="s">
        <v>73</v>
      </c>
    </row>
    <row r="8" spans="1:36" x14ac:dyDescent="0.25">
      <c r="U8" s="1">
        <v>56</v>
      </c>
      <c r="V8" s="4">
        <v>7.2057594037927936E+16</v>
      </c>
      <c r="W8" s="1" t="s">
        <v>119</v>
      </c>
      <c r="Y8">
        <v>6</v>
      </c>
      <c r="Z8" t="s">
        <v>21</v>
      </c>
      <c r="AB8" s="5" t="s">
        <v>130</v>
      </c>
      <c r="AC8" t="s">
        <v>76</v>
      </c>
    </row>
    <row r="9" spans="1:36" x14ac:dyDescent="0.25">
      <c r="U9">
        <v>64</v>
      </c>
      <c r="V9" s="4">
        <v>1.8446744073709552E+19</v>
      </c>
      <c r="W9" s="1" t="s">
        <v>108</v>
      </c>
      <c r="Y9">
        <v>7</v>
      </c>
      <c r="Z9" t="s">
        <v>23</v>
      </c>
      <c r="AB9" s="5" t="s">
        <v>131</v>
      </c>
      <c r="AC9" t="s">
        <v>75</v>
      </c>
    </row>
    <row r="10" spans="1:36" x14ac:dyDescent="0.25">
      <c r="AB10" s="5" t="s">
        <v>132</v>
      </c>
      <c r="AC10" t="s">
        <v>80</v>
      </c>
    </row>
    <row r="11" spans="1:36" x14ac:dyDescent="0.25">
      <c r="Y11" t="s">
        <v>123</v>
      </c>
      <c r="Z11" t="s">
        <v>136</v>
      </c>
      <c r="AB11" s="5" t="s">
        <v>133</v>
      </c>
      <c r="AC11" s="6" t="s">
        <v>81</v>
      </c>
    </row>
    <row r="12" spans="1:36" x14ac:dyDescent="0.25">
      <c r="Y12">
        <v>0</v>
      </c>
      <c r="Z12" s="5" t="s">
        <v>137</v>
      </c>
      <c r="AB12" s="5" t="s">
        <v>24</v>
      </c>
      <c r="AC12" s="6" t="s">
        <v>46</v>
      </c>
    </row>
    <row r="13" spans="1:36" x14ac:dyDescent="0.25">
      <c r="Y13">
        <v>1</v>
      </c>
      <c r="Z13" s="5" t="s">
        <v>138</v>
      </c>
      <c r="AB13" s="5" t="s">
        <v>25</v>
      </c>
      <c r="AC13" s="6" t="s">
        <v>40</v>
      </c>
    </row>
    <row r="14" spans="1:36" x14ac:dyDescent="0.25">
      <c r="Y14">
        <v>2</v>
      </c>
      <c r="Z14" s="5" t="s">
        <v>139</v>
      </c>
      <c r="AB14" s="5" t="s">
        <v>107</v>
      </c>
      <c r="AC14" t="s">
        <v>86</v>
      </c>
    </row>
    <row r="15" spans="1:36" x14ac:dyDescent="0.25">
      <c r="Y15">
        <v>3</v>
      </c>
      <c r="Z15" s="5" t="s">
        <v>140</v>
      </c>
      <c r="AB15" s="5" t="s">
        <v>109</v>
      </c>
      <c r="AC15" t="s">
        <v>43</v>
      </c>
    </row>
    <row r="16" spans="1:36" x14ac:dyDescent="0.25">
      <c r="AB16" s="5" t="s">
        <v>110</v>
      </c>
      <c r="AC16" t="s">
        <v>42</v>
      </c>
    </row>
    <row r="17" spans="28:29" x14ac:dyDescent="0.25">
      <c r="AB17" s="5" t="s">
        <v>111</v>
      </c>
      <c r="AC17" t="s">
        <v>52</v>
      </c>
    </row>
  </sheetData>
  <mergeCells count="9">
    <mergeCell ref="B4:Q4"/>
    <mergeCell ref="N2:Q2"/>
    <mergeCell ref="K2:M2"/>
    <mergeCell ref="H2:J2"/>
    <mergeCell ref="E2:G2"/>
    <mergeCell ref="B2:D2"/>
    <mergeCell ref="B3:L3"/>
    <mergeCell ref="M3:O3"/>
    <mergeCell ref="P3:Q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8BFC-0261-4DB8-8BE6-807FAB0FAC87}">
  <dimension ref="A1:I11"/>
  <sheetViews>
    <sheetView tabSelected="1" workbookViewId="0">
      <selection activeCell="J1" sqref="J1"/>
    </sheetView>
  </sheetViews>
  <sheetFormatPr defaultRowHeight="15" x14ac:dyDescent="0.25"/>
  <cols>
    <col min="1" max="1" width="9.140625" style="1"/>
  </cols>
  <sheetData>
    <row r="1" spans="1:9" x14ac:dyDescent="0.25">
      <c r="B1" s="5" t="s">
        <v>146</v>
      </c>
      <c r="C1" s="5" t="s">
        <v>147</v>
      </c>
      <c r="D1" s="5" t="s">
        <v>148</v>
      </c>
      <c r="E1" s="5" t="s">
        <v>149</v>
      </c>
      <c r="H1">
        <v>31</v>
      </c>
      <c r="I1" s="1">
        <f t="shared" ref="I1:I7" si="0">H1-3</f>
        <v>28</v>
      </c>
    </row>
    <row r="2" spans="1:9" x14ac:dyDescent="0.25">
      <c r="A2" s="5" t="s">
        <v>146</v>
      </c>
      <c r="B2">
        <v>1</v>
      </c>
      <c r="C2">
        <v>2</v>
      </c>
      <c r="D2">
        <v>3</v>
      </c>
      <c r="E2" t="s">
        <v>152</v>
      </c>
      <c r="H2">
        <f>H1-4</f>
        <v>27</v>
      </c>
      <c r="I2" s="1">
        <f t="shared" si="0"/>
        <v>24</v>
      </c>
    </row>
    <row r="3" spans="1:9" x14ac:dyDescent="0.25">
      <c r="A3" s="5" t="s">
        <v>147</v>
      </c>
      <c r="B3">
        <v>4</v>
      </c>
      <c r="C3">
        <v>5</v>
      </c>
      <c r="D3">
        <v>6</v>
      </c>
      <c r="E3" t="s">
        <v>153</v>
      </c>
      <c r="H3" s="1">
        <f t="shared" ref="H3:H9" si="1">H2-4</f>
        <v>23</v>
      </c>
      <c r="I3" s="1">
        <f t="shared" si="0"/>
        <v>20</v>
      </c>
    </row>
    <row r="4" spans="1:9" x14ac:dyDescent="0.25">
      <c r="A4" s="5" t="s">
        <v>148</v>
      </c>
      <c r="B4">
        <v>4</v>
      </c>
      <c r="C4">
        <v>8</v>
      </c>
      <c r="D4">
        <v>9</v>
      </c>
      <c r="E4" t="s">
        <v>154</v>
      </c>
      <c r="H4" s="1">
        <f t="shared" si="1"/>
        <v>19</v>
      </c>
      <c r="I4" s="1">
        <f t="shared" si="0"/>
        <v>16</v>
      </c>
    </row>
    <row r="5" spans="1:9" x14ac:dyDescent="0.25">
      <c r="A5" s="1" t="s">
        <v>149</v>
      </c>
      <c r="B5">
        <v>0</v>
      </c>
      <c r="C5" t="s">
        <v>150</v>
      </c>
      <c r="D5" t="s">
        <v>151</v>
      </c>
      <c r="E5" t="s">
        <v>155</v>
      </c>
      <c r="H5" s="1">
        <f t="shared" si="1"/>
        <v>15</v>
      </c>
      <c r="I5" s="1">
        <f t="shared" si="0"/>
        <v>12</v>
      </c>
    </row>
    <row r="6" spans="1:9" x14ac:dyDescent="0.25">
      <c r="H6" s="1">
        <f t="shared" si="1"/>
        <v>11</v>
      </c>
      <c r="I6" s="1">
        <f t="shared" si="0"/>
        <v>8</v>
      </c>
    </row>
    <row r="7" spans="1:9" x14ac:dyDescent="0.25">
      <c r="C7" s="1"/>
      <c r="D7" s="1"/>
      <c r="E7" s="1"/>
      <c r="H7" s="1">
        <f t="shared" si="1"/>
        <v>7</v>
      </c>
      <c r="I7" s="1">
        <f t="shared" si="0"/>
        <v>4</v>
      </c>
    </row>
    <row r="8" spans="1:9" x14ac:dyDescent="0.25">
      <c r="C8" s="1"/>
      <c r="D8" s="1"/>
      <c r="E8" s="1"/>
      <c r="H8" s="1">
        <f t="shared" si="1"/>
        <v>3</v>
      </c>
      <c r="I8">
        <f>H8-3</f>
        <v>0</v>
      </c>
    </row>
    <row r="9" spans="1:9" x14ac:dyDescent="0.25">
      <c r="B9" s="1"/>
      <c r="C9" s="1"/>
      <c r="D9" s="1"/>
      <c r="E9" s="1"/>
      <c r="H9" s="1"/>
    </row>
    <row r="10" spans="1:9" x14ac:dyDescent="0.25">
      <c r="B10" s="1"/>
      <c r="C10" s="1"/>
      <c r="D10" s="1"/>
      <c r="E10" s="1"/>
    </row>
    <row r="11" spans="1:9" x14ac:dyDescent="0.25">
      <c r="B11" s="1"/>
      <c r="C11" s="1"/>
      <c r="D11" s="1"/>
      <c r="E1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CPU</vt:lpstr>
      <vt:lpstr>ALU</vt:lpstr>
      <vt:lpstr>OpCodes</vt:lpstr>
      <vt:lpstr>Row Column Decoder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Whited</dc:creator>
  <cp:lastModifiedBy>Matthew Whited</cp:lastModifiedBy>
  <dcterms:created xsi:type="dcterms:W3CDTF">2020-12-15T12:44:57Z</dcterms:created>
  <dcterms:modified xsi:type="dcterms:W3CDTF">2021-02-22T00:30:16Z</dcterms:modified>
</cp:coreProperties>
</file>