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"/>
    </mc:Choice>
  </mc:AlternateContent>
  <xr:revisionPtr revIDLastSave="946" documentId="8_{3BC1C801-5BAB-4F79-A2D4-EA890E77E247}" xr6:coauthVersionLast="45" xr6:coauthVersionMax="45" xr10:uidLastSave="{A7C46EDC-0557-417B-BCE9-AAB399F88AE3}"/>
  <bookViews>
    <workbookView xWindow="-28920" yWindow="-1995" windowWidth="29040" windowHeight="17640" activeTab="2" xr2:uid="{C672D0D1-D8C0-4748-A3DD-B958EA3ED82B}"/>
  </bookViews>
  <sheets>
    <sheet name="Calculators" sheetId="1" r:id="rId1"/>
    <sheet name="Video Memory Detailed" sheetId="2" r:id="rId2"/>
    <sheet name="Control Registers" sheetId="8" r:id="rId3"/>
    <sheet name="Memory Map" sheetId="3" r:id="rId4"/>
    <sheet name="Register Map" sheetId="5" r:id="rId5"/>
    <sheet name="Bus Map" sheetId="6" r:id="rId6"/>
    <sheet name="Gates" sheetId="4" r:id="rId7"/>
    <sheet name="Micro Code v1" sheetId="7" r:id="rId8"/>
  </sheets>
  <definedNames>
    <definedName name="AddressSpace">Calculators!$C$4</definedName>
    <definedName name="BitWidth">Calculators!$A$5</definedName>
    <definedName name="ValueRequired">Calculators!$A$2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/>
  <c r="D3" i="1" l="1"/>
  <c r="C4" i="1"/>
  <c r="E5" i="7" l="1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V4" i="7"/>
  <c r="U4" i="7" s="1"/>
  <c r="T4" i="7" s="1"/>
  <c r="S4" i="7" s="1"/>
  <c r="R4" i="7" s="1"/>
  <c r="Q4" i="7" s="1"/>
  <c r="P4" i="7" s="1"/>
  <c r="O4" i="7" s="1"/>
  <c r="N4" i="7" s="1"/>
  <c r="M4" i="7" s="1"/>
  <c r="L4" i="7" s="1"/>
  <c r="K4" i="7" s="1"/>
  <c r="J4" i="7" s="1"/>
  <c r="I4" i="7" s="1"/>
  <c r="H4" i="7" s="1"/>
  <c r="G4" i="7" s="1"/>
  <c r="F4" i="7" s="1"/>
  <c r="E4" i="7" s="1"/>
  <c r="D4" i="7" s="1"/>
  <c r="C4" i="7" s="1"/>
  <c r="B4" i="7" s="1"/>
  <c r="B5" i="7" s="1"/>
  <c r="W4" i="7"/>
  <c r="X4" i="7"/>
  <c r="J5" i="1"/>
  <c r="J4" i="1"/>
  <c r="B28" i="2"/>
  <c r="A28" i="2"/>
  <c r="E28" i="2" s="1"/>
  <c r="F28" i="2" s="1"/>
  <c r="D28" i="2"/>
  <c r="AJ11" i="3"/>
  <c r="AK11" i="3"/>
  <c r="AJ12" i="3"/>
  <c r="AK12" i="3"/>
  <c r="AJ10" i="3"/>
  <c r="AL10" i="3" s="1"/>
  <c r="AK10" i="3"/>
  <c r="AK9" i="3"/>
  <c r="AJ9" i="3"/>
  <c r="AK5" i="3"/>
  <c r="AK6" i="3"/>
  <c r="AK7" i="3"/>
  <c r="AK4" i="3"/>
  <c r="AJ5" i="3"/>
  <c r="AJ6" i="3"/>
  <c r="AJ7" i="3"/>
  <c r="AJ4" i="3"/>
  <c r="E52" i="2"/>
  <c r="F52" i="2" s="1"/>
  <c r="D52" i="2"/>
  <c r="E51" i="2"/>
  <c r="F51" i="2" s="1"/>
  <c r="D51" i="2"/>
  <c r="E50" i="2"/>
  <c r="F50" i="2" s="1"/>
  <c r="D50" i="2"/>
  <c r="E49" i="2"/>
  <c r="F49" i="2" s="1"/>
  <c r="D49" i="2"/>
  <c r="E46" i="2"/>
  <c r="F46" i="2" s="1"/>
  <c r="G46" i="2" s="1"/>
  <c r="D46" i="2"/>
  <c r="E43" i="2"/>
  <c r="F43" i="2" s="1"/>
  <c r="D43" i="2"/>
  <c r="E37" i="2"/>
  <c r="F37" i="2" s="1"/>
  <c r="D37" i="2"/>
  <c r="E48" i="2"/>
  <c r="F48" i="2" s="1"/>
  <c r="D48" i="2"/>
  <c r="E47" i="2"/>
  <c r="F47" i="2" s="1"/>
  <c r="D47" i="2"/>
  <c r="E45" i="2"/>
  <c r="F45" i="2" s="1"/>
  <c r="D45" i="2"/>
  <c r="E42" i="2"/>
  <c r="F42" i="2" s="1"/>
  <c r="D42" i="2"/>
  <c r="E36" i="2"/>
  <c r="F36" i="2" s="1"/>
  <c r="G36" i="2" s="1"/>
  <c r="D36" i="2"/>
  <c r="E31" i="2"/>
  <c r="F31" i="2" s="1"/>
  <c r="D31" i="2"/>
  <c r="E26" i="2"/>
  <c r="F26" i="2" s="1"/>
  <c r="G26" i="2" s="1"/>
  <c r="D26" i="2"/>
  <c r="E44" i="2"/>
  <c r="F44" i="2" s="1"/>
  <c r="D44" i="2"/>
  <c r="E40" i="2"/>
  <c r="F40" i="2" s="1"/>
  <c r="D40" i="2"/>
  <c r="E38" i="2"/>
  <c r="F38" i="2" s="1"/>
  <c r="D38" i="2"/>
  <c r="E32" i="2"/>
  <c r="F32" i="2" s="1"/>
  <c r="D32" i="2"/>
  <c r="E27" i="2"/>
  <c r="F27" i="2" s="1"/>
  <c r="D27" i="2"/>
  <c r="E21" i="2"/>
  <c r="F21" i="2" s="1"/>
  <c r="G21" i="2" s="1"/>
  <c r="D21" i="2"/>
  <c r="E16" i="2"/>
  <c r="F16" i="2" s="1"/>
  <c r="D16" i="2"/>
  <c r="E41" i="2"/>
  <c r="F41" i="2" s="1"/>
  <c r="G41" i="2" s="1"/>
  <c r="D41" i="2"/>
  <c r="E39" i="2"/>
  <c r="F39" i="2" s="1"/>
  <c r="D39" i="2"/>
  <c r="E35" i="2"/>
  <c r="F35" i="2" s="1"/>
  <c r="D35" i="2"/>
  <c r="E30" i="2"/>
  <c r="F30" i="2" s="1"/>
  <c r="D30" i="2"/>
  <c r="E25" i="2"/>
  <c r="F25" i="2" s="1"/>
  <c r="D25" i="2"/>
  <c r="E20" i="2"/>
  <c r="F20" i="2" s="1"/>
  <c r="D20" i="2"/>
  <c r="E15" i="2"/>
  <c r="F15" i="2" s="1"/>
  <c r="G15" i="2" s="1"/>
  <c r="D15" i="2"/>
  <c r="E34" i="2"/>
  <c r="F34" i="2" s="1"/>
  <c r="D34" i="2"/>
  <c r="E33" i="2"/>
  <c r="F33" i="2" s="1"/>
  <c r="G33" i="2" s="1"/>
  <c r="D33" i="2"/>
  <c r="E29" i="2"/>
  <c r="F29" i="2" s="1"/>
  <c r="D29" i="2"/>
  <c r="E23" i="2"/>
  <c r="F23" i="2" s="1"/>
  <c r="D23" i="2"/>
  <c r="E18" i="2"/>
  <c r="F18" i="2" s="1"/>
  <c r="D18" i="2"/>
  <c r="E13" i="2"/>
  <c r="F13" i="2" s="1"/>
  <c r="D13" i="2"/>
  <c r="E9" i="2"/>
  <c r="F9" i="2" s="1"/>
  <c r="D9" i="2"/>
  <c r="E24" i="2"/>
  <c r="F24" i="2" s="1"/>
  <c r="G24" i="2" s="1"/>
  <c r="D24" i="2"/>
  <c r="E19" i="2"/>
  <c r="F19" i="2" s="1"/>
  <c r="D19" i="2"/>
  <c r="E14" i="2"/>
  <c r="F14" i="2" s="1"/>
  <c r="D14" i="2"/>
  <c r="E10" i="2"/>
  <c r="F10" i="2" s="1"/>
  <c r="D10" i="2"/>
  <c r="E6" i="2"/>
  <c r="F6" i="2" s="1"/>
  <c r="D6" i="2"/>
  <c r="E22" i="2"/>
  <c r="F22" i="2" s="1"/>
  <c r="D22" i="2"/>
  <c r="E17" i="2"/>
  <c r="F17" i="2" s="1"/>
  <c r="D17" i="2"/>
  <c r="E12" i="2"/>
  <c r="F12" i="2" s="1"/>
  <c r="D12" i="2"/>
  <c r="E8" i="2"/>
  <c r="F8" i="2" s="1"/>
  <c r="G8" i="2" s="1"/>
  <c r="D8" i="2"/>
  <c r="E5" i="2"/>
  <c r="F5" i="2" s="1"/>
  <c r="D5" i="2"/>
  <c r="E11" i="2"/>
  <c r="F11" i="2" s="1"/>
  <c r="D11" i="2"/>
  <c r="E7" i="2"/>
  <c r="F7" i="2" s="1"/>
  <c r="D7" i="2"/>
  <c r="E4" i="2"/>
  <c r="F4" i="2" s="1"/>
  <c r="D4" i="2"/>
  <c r="E3" i="2"/>
  <c r="F3" i="2" s="1"/>
  <c r="D3" i="2"/>
  <c r="E2" i="2"/>
  <c r="F2" i="2" s="1"/>
  <c r="D2" i="2"/>
  <c r="H9" i="2" l="1"/>
  <c r="I9" i="2" s="1"/>
  <c r="H29" i="2"/>
  <c r="I29" i="2" s="1"/>
  <c r="H27" i="2"/>
  <c r="I27" i="2" s="1"/>
  <c r="H42" i="2"/>
  <c r="I42" i="2" s="1"/>
  <c r="H37" i="2"/>
  <c r="I37" i="2" s="1"/>
  <c r="H30" i="2"/>
  <c r="I30" i="2" s="1"/>
  <c r="H47" i="2"/>
  <c r="I47" i="2" s="1"/>
  <c r="D5" i="7"/>
  <c r="C5" i="7"/>
  <c r="AL9" i="3"/>
  <c r="AL11" i="3"/>
  <c r="AM11" i="3" s="1"/>
  <c r="H41" i="2"/>
  <c r="I41" i="2" s="1"/>
  <c r="H51" i="2"/>
  <c r="I51" i="2" s="1"/>
  <c r="G42" i="2"/>
  <c r="H12" i="2"/>
  <c r="I12" i="2" s="1"/>
  <c r="G12" i="2"/>
  <c r="H20" i="2"/>
  <c r="I20" i="2" s="1"/>
  <c r="G20" i="2"/>
  <c r="H46" i="2"/>
  <c r="I46" i="2" s="1"/>
  <c r="H33" i="2"/>
  <c r="I33" i="2" s="1"/>
  <c r="G27" i="2"/>
  <c r="G9" i="2"/>
  <c r="H26" i="2"/>
  <c r="I26" i="2" s="1"/>
  <c r="H28" i="2"/>
  <c r="I28" i="2" s="1"/>
  <c r="G28" i="2"/>
  <c r="AL5" i="3"/>
  <c r="AM5" i="3" s="1"/>
  <c r="AL12" i="3"/>
  <c r="AM12" i="3" s="1"/>
  <c r="AM9" i="3"/>
  <c r="AM10" i="3"/>
  <c r="AL4" i="3"/>
  <c r="AM4" i="3" s="1"/>
  <c r="AL7" i="3"/>
  <c r="AM7" i="3" s="1"/>
  <c r="AL6" i="3"/>
  <c r="AM6" i="3" s="1"/>
  <c r="H7" i="2"/>
  <c r="I7" i="2" s="1"/>
  <c r="H22" i="2"/>
  <c r="I22" i="2" s="1"/>
  <c r="H44" i="2"/>
  <c r="I44" i="2" s="1"/>
  <c r="H39" i="2"/>
  <c r="I39" i="2" s="1"/>
  <c r="H3" i="2"/>
  <c r="I3" i="2" s="1"/>
  <c r="H38" i="2"/>
  <c r="I38" i="2" s="1"/>
  <c r="H10" i="2"/>
  <c r="I10" i="2" s="1"/>
  <c r="H18" i="2"/>
  <c r="I18" i="2" s="1"/>
  <c r="H35" i="2"/>
  <c r="I35" i="2" s="1"/>
  <c r="G35" i="2"/>
  <c r="H31" i="2"/>
  <c r="I31" i="2" s="1"/>
  <c r="G31" i="2"/>
  <c r="H23" i="2"/>
  <c r="I23" i="2" s="1"/>
  <c r="G23" i="2"/>
  <c r="H16" i="2"/>
  <c r="I16" i="2" s="1"/>
  <c r="G16" i="2"/>
  <c r="G45" i="2"/>
  <c r="H45" i="2"/>
  <c r="I45" i="2" s="1"/>
  <c r="G49" i="2"/>
  <c r="H49" i="2"/>
  <c r="I49" i="2" s="1"/>
  <c r="G2" i="2"/>
  <c r="H2" i="2"/>
  <c r="I2" i="2" s="1"/>
  <c r="H34" i="2"/>
  <c r="I34" i="2" s="1"/>
  <c r="G34" i="2"/>
  <c r="H32" i="2"/>
  <c r="I32" i="2" s="1"/>
  <c r="G32" i="2"/>
  <c r="H19" i="2"/>
  <c r="I19" i="2" s="1"/>
  <c r="G19" i="2"/>
  <c r="H25" i="2"/>
  <c r="I25" i="2" s="1"/>
  <c r="G25" i="2"/>
  <c r="H43" i="2"/>
  <c r="I43" i="2" s="1"/>
  <c r="G43" i="2"/>
  <c r="H50" i="2"/>
  <c r="I50" i="2" s="1"/>
  <c r="G50" i="2"/>
  <c r="G11" i="2"/>
  <c r="H11" i="2"/>
  <c r="I11" i="2" s="1"/>
  <c r="H6" i="2"/>
  <c r="I6" i="2" s="1"/>
  <c r="G6" i="2"/>
  <c r="H13" i="2"/>
  <c r="I13" i="2" s="1"/>
  <c r="G13" i="2"/>
  <c r="H52" i="2"/>
  <c r="I52" i="2" s="1"/>
  <c r="G52" i="2"/>
  <c r="G14" i="2"/>
  <c r="H14" i="2"/>
  <c r="I14" i="2" s="1"/>
  <c r="H5" i="2"/>
  <c r="I5" i="2" s="1"/>
  <c r="G5" i="2"/>
  <c r="H48" i="2"/>
  <c r="I48" i="2" s="1"/>
  <c r="G48" i="2"/>
  <c r="H4" i="2"/>
  <c r="I4" i="2" s="1"/>
  <c r="G4" i="2"/>
  <c r="H17" i="2"/>
  <c r="I17" i="2" s="1"/>
  <c r="G17" i="2"/>
  <c r="H40" i="2"/>
  <c r="I40" i="2" s="1"/>
  <c r="G40" i="2"/>
  <c r="H8" i="2"/>
  <c r="I8" i="2" s="1"/>
  <c r="H24" i="2"/>
  <c r="I24" i="2" s="1"/>
  <c r="H15" i="2"/>
  <c r="I15" i="2" s="1"/>
  <c r="H21" i="2"/>
  <c r="I21" i="2" s="1"/>
  <c r="H36" i="2"/>
  <c r="I36" i="2" s="1"/>
  <c r="G7" i="2"/>
  <c r="G10" i="2"/>
  <c r="G29" i="2"/>
  <c r="G39" i="2"/>
  <c r="G44" i="2"/>
  <c r="G37" i="2"/>
  <c r="G3" i="2"/>
  <c r="G22" i="2"/>
  <c r="G18" i="2"/>
  <c r="G30" i="2"/>
  <c r="G38" i="2"/>
  <c r="G47" i="2"/>
  <c r="G51" i="2"/>
  <c r="E9" i="1"/>
  <c r="C5" i="1"/>
  <c r="C7" i="1" s="1"/>
  <c r="F9" i="1"/>
  <c r="E7" i="1"/>
  <c r="E8" i="1" s="1"/>
  <c r="A7" i="1"/>
  <c r="E5" i="1"/>
  <c r="E6" i="1" s="1"/>
  <c r="C6" i="1"/>
  <c r="C8" i="1" s="1"/>
  <c r="A3" i="1"/>
  <c r="A4" i="1" s="1"/>
  <c r="A6" i="1" s="1"/>
  <c r="A8" i="1" s="1"/>
  <c r="A9" i="1" s="1"/>
  <c r="A10" i="1" s="1"/>
  <c r="A11" i="1" s="1"/>
  <c r="E11" i="1" l="1"/>
  <c r="J28" i="2"/>
  <c r="K28" i="2" s="1"/>
  <c r="J51" i="2"/>
  <c r="K51" i="2" s="1"/>
  <c r="J45" i="2"/>
  <c r="K45" i="2" s="1"/>
  <c r="J32" i="2"/>
  <c r="K32" i="2" s="1"/>
  <c r="J25" i="2"/>
  <c r="K25" i="2" s="1"/>
  <c r="J13" i="2"/>
  <c r="K13" i="2" s="1"/>
  <c r="J17" i="2"/>
  <c r="K17" i="2" s="1"/>
  <c r="J47" i="2"/>
  <c r="K47" i="2" s="1"/>
  <c r="J52" i="2"/>
  <c r="K52" i="2" s="1"/>
  <c r="J48" i="2"/>
  <c r="K48" i="2" s="1"/>
  <c r="J40" i="2"/>
  <c r="K40" i="2" s="1"/>
  <c r="J35" i="2"/>
  <c r="K35" i="2" s="1"/>
  <c r="J23" i="2"/>
  <c r="K23" i="2" s="1"/>
  <c r="J6" i="2"/>
  <c r="K6" i="2" s="1"/>
  <c r="J4" i="2"/>
  <c r="K4" i="2" s="1"/>
  <c r="J8" i="2"/>
  <c r="K8" i="2" s="1"/>
  <c r="J37" i="2"/>
  <c r="K37" i="2" s="1"/>
  <c r="J44" i="2"/>
  <c r="K44" i="2" s="1"/>
  <c r="J39" i="2"/>
  <c r="K39" i="2" s="1"/>
  <c r="J29" i="2"/>
  <c r="K29" i="2" s="1"/>
  <c r="J10" i="2"/>
  <c r="K10" i="2" s="1"/>
  <c r="J7" i="2"/>
  <c r="K7" i="2" s="1"/>
  <c r="J36" i="2"/>
  <c r="K36" i="2" s="1"/>
  <c r="J3" i="2"/>
  <c r="K3" i="2" s="1"/>
  <c r="J43" i="2"/>
  <c r="K43" i="2" s="1"/>
  <c r="J26" i="2"/>
  <c r="K26" i="2" s="1"/>
  <c r="J41" i="2"/>
  <c r="K41" i="2" s="1"/>
  <c r="J33" i="2"/>
  <c r="K33" i="2" s="1"/>
  <c r="J14" i="2"/>
  <c r="K14" i="2" s="1"/>
  <c r="J11" i="2"/>
  <c r="K11" i="2" s="1"/>
  <c r="J21" i="2"/>
  <c r="K21" i="2" s="1"/>
  <c r="J15" i="2"/>
  <c r="K15" i="2" s="1"/>
  <c r="J24" i="2"/>
  <c r="K24" i="2" s="1"/>
  <c r="J46" i="2"/>
  <c r="K46" i="2" s="1"/>
  <c r="J31" i="2"/>
  <c r="K31" i="2" s="1"/>
  <c r="J16" i="2"/>
  <c r="K16" i="2" s="1"/>
  <c r="J34" i="2"/>
  <c r="K34" i="2" s="1"/>
  <c r="J19" i="2"/>
  <c r="K19" i="2" s="1"/>
  <c r="J5" i="2"/>
  <c r="K5" i="2" s="1"/>
  <c r="J49" i="2"/>
  <c r="K49" i="2" s="1"/>
  <c r="J50" i="2"/>
  <c r="K50" i="2" s="1"/>
  <c r="J42" i="2"/>
  <c r="K42" i="2" s="1"/>
  <c r="J27" i="2"/>
  <c r="K27" i="2" s="1"/>
  <c r="J20" i="2"/>
  <c r="K20" i="2" s="1"/>
  <c r="J9" i="2"/>
  <c r="K9" i="2" s="1"/>
  <c r="J12" i="2"/>
  <c r="K12" i="2" s="1"/>
  <c r="J2" i="2"/>
  <c r="K2" i="2" s="1"/>
  <c r="J38" i="2"/>
  <c r="K38" i="2" s="1"/>
  <c r="J30" i="2"/>
  <c r="K30" i="2" s="1"/>
  <c r="J18" i="2"/>
  <c r="K18" i="2" s="1"/>
  <c r="J22" i="2"/>
  <c r="K22" i="2" s="1"/>
  <c r="E10" i="1"/>
  <c r="C9" i="1"/>
  <c r="C10" i="1" s="1"/>
  <c r="C11" i="1" s="1"/>
  <c r="E12" i="1" l="1"/>
</calcChain>
</file>

<file path=xl/sharedStrings.xml><?xml version="1.0" encoding="utf-8"?>
<sst xmlns="http://schemas.openxmlformats.org/spreadsheetml/2006/main" count="359" uniqueCount="150">
  <si>
    <t>min number</t>
  </si>
  <si>
    <t>min required bits</t>
  </si>
  <si>
    <t>address space</t>
  </si>
  <si>
    <t>Address Space Calculations</t>
  </si>
  <si>
    <t>x pixels</t>
  </si>
  <si>
    <t>y pixels</t>
  </si>
  <si>
    <t>bit depth</t>
  </si>
  <si>
    <t>bits per color</t>
  </si>
  <si>
    <t>real bits per color</t>
  </si>
  <si>
    <t>total bits</t>
  </si>
  <si>
    <t>width (in bits) [word size]</t>
  </si>
  <si>
    <t>Image data calculation (raster)</t>
  </si>
  <si>
    <t>word byte width</t>
  </si>
  <si>
    <t>memory space in bytes</t>
  </si>
  <si>
    <t>Total Pixels</t>
  </si>
  <si>
    <t>Total Bits</t>
  </si>
  <si>
    <t>required addresses</t>
  </si>
  <si>
    <t>X Pixels</t>
  </si>
  <si>
    <t>Bit Depth</t>
  </si>
  <si>
    <t>Required Bits</t>
  </si>
  <si>
    <t>Word Size</t>
  </si>
  <si>
    <t>Address Space Required</t>
  </si>
  <si>
    <t>Available Address Space</t>
  </si>
  <si>
    <t>Pixels</t>
  </si>
  <si>
    <t>Address Utilization</t>
  </si>
  <si>
    <t>Required Bytes</t>
  </si>
  <si>
    <t>Available space</t>
  </si>
  <si>
    <t>Utilization</t>
  </si>
  <si>
    <t>X</t>
  </si>
  <si>
    <t>A</t>
  </si>
  <si>
    <t>LSB</t>
  </si>
  <si>
    <t>MSB</t>
  </si>
  <si>
    <t>Function</t>
  </si>
  <si>
    <t>Video Page 1</t>
  </si>
  <si>
    <t>Video Page 2</t>
  </si>
  <si>
    <t>Video Page 3</t>
  </si>
  <si>
    <t>Video Page 4</t>
  </si>
  <si>
    <t>Addresses</t>
  </si>
  <si>
    <t>Word Width</t>
  </si>
  <si>
    <t>Bits</t>
  </si>
  <si>
    <t>Bytes</t>
  </si>
  <si>
    <t>B</t>
  </si>
  <si>
    <t>C</t>
  </si>
  <si>
    <t>D</t>
  </si>
  <si>
    <t>E</t>
  </si>
  <si>
    <t>F</t>
  </si>
  <si>
    <t>R</t>
  </si>
  <si>
    <t>V</t>
  </si>
  <si>
    <t>M</t>
  </si>
  <si>
    <t>&lt;-</t>
  </si>
  <si>
    <t>memory space in k bytes</t>
  </si>
  <si>
    <t>memory space in M bytes</t>
  </si>
  <si>
    <t>memory space in G bytes</t>
  </si>
  <si>
    <t>ROM 1</t>
  </si>
  <si>
    <t>ROM 2</t>
  </si>
  <si>
    <t>ROM 3</t>
  </si>
  <si>
    <t>ROM 4</t>
  </si>
  <si>
    <t>AND</t>
  </si>
  <si>
    <t>NAND</t>
  </si>
  <si>
    <t>OR</t>
  </si>
  <si>
    <t>NOR</t>
  </si>
  <si>
    <t>XOR</t>
  </si>
  <si>
    <t>XNOR</t>
  </si>
  <si>
    <t>Name</t>
  </si>
  <si>
    <t>General Purpose A</t>
  </si>
  <si>
    <t>General Purpose B</t>
  </si>
  <si>
    <t>Short</t>
  </si>
  <si>
    <t>Memory High Address</t>
  </si>
  <si>
    <t>MH</t>
  </si>
  <si>
    <t>ML</t>
  </si>
  <si>
    <t>MV</t>
  </si>
  <si>
    <t>Memory Low Address</t>
  </si>
  <si>
    <t>Memory Value</t>
  </si>
  <si>
    <t>Input/Output Address</t>
  </si>
  <si>
    <t>Input/Output Value</t>
  </si>
  <si>
    <t>IOA</t>
  </si>
  <si>
    <t>IOV</t>
  </si>
  <si>
    <t>Instruction Register</t>
  </si>
  <si>
    <t>IP</t>
  </si>
  <si>
    <t>Program Counter</t>
  </si>
  <si>
    <t>PC</t>
  </si>
  <si>
    <t>Input</t>
  </si>
  <si>
    <t>Output</t>
  </si>
  <si>
    <t>ALU Result/ALU Flags Set</t>
  </si>
  <si>
    <t>ALU</t>
  </si>
  <si>
    <t>Reset</t>
  </si>
  <si>
    <t>RESERVED</t>
  </si>
  <si>
    <t>AND/NAND</t>
  </si>
  <si>
    <t>OR/NO</t>
  </si>
  <si>
    <t>Add / RESERVED</t>
  </si>
  <si>
    <t>Not / RSA</t>
  </si>
  <si>
    <t>XOR/XNOT</t>
  </si>
  <si>
    <t>LS / RSL</t>
  </si>
  <si>
    <t>LR / RR</t>
  </si>
  <si>
    <t>LRC / RRC</t>
  </si>
  <si>
    <t>ID</t>
  </si>
  <si>
    <t>Register</t>
  </si>
  <si>
    <t>Direct</t>
  </si>
  <si>
    <t>NOP</t>
  </si>
  <si>
    <t>Reset Micro Instruction</t>
  </si>
  <si>
    <t>Reset Timer</t>
  </si>
  <si>
    <t>Direct Load</t>
  </si>
  <si>
    <t>00</t>
  </si>
  <si>
    <t>05</t>
  </si>
  <si>
    <t>01</t>
  </si>
  <si>
    <t>30</t>
  </si>
  <si>
    <t>03</t>
  </si>
  <si>
    <t>20</t>
  </si>
  <si>
    <t>Disable Clock</t>
  </si>
  <si>
    <t>Direct 5</t>
  </si>
  <si>
    <t>Direct 3</t>
  </si>
  <si>
    <t>Store to A</t>
  </si>
  <si>
    <t>Store to B</t>
  </si>
  <si>
    <t>Add A + B</t>
  </si>
  <si>
    <t>26</t>
  </si>
  <si>
    <t>Jump Micro to Direct</t>
  </si>
  <si>
    <t>Output S</t>
  </si>
  <si>
    <t>Store A</t>
  </si>
  <si>
    <t>Jump to store b</t>
  </si>
  <si>
    <t>0000</t>
  </si>
  <si>
    <t>0001</t>
  </si>
  <si>
    <t>0010</t>
  </si>
  <si>
    <t>0011</t>
  </si>
  <si>
    <t>0100</t>
  </si>
  <si>
    <t>0101</t>
  </si>
  <si>
    <t>0110</t>
  </si>
  <si>
    <t>0111</t>
  </si>
  <si>
    <t>No Op</t>
  </si>
  <si>
    <t>1000</t>
  </si>
  <si>
    <t>Address Lines Required</t>
  </si>
  <si>
    <t>Clock Enabled</t>
  </si>
  <si>
    <t>Processor</t>
  </si>
  <si>
    <t>Signed</t>
  </si>
  <si>
    <t>=1</t>
  </si>
  <si>
    <t>=0</t>
  </si>
  <si>
    <t>ALU Inputs</t>
  </si>
  <si>
    <t>ALU Results</t>
  </si>
  <si>
    <t>L:A=B</t>
  </si>
  <si>
    <t>L:A&gt;B</t>
  </si>
  <si>
    <t>H:A=B</t>
  </si>
  <si>
    <t>H:A&gt;B</t>
  </si>
  <si>
    <t>Carry Out</t>
  </si>
  <si>
    <t>Auxiliary Carry Out</t>
  </si>
  <si>
    <t>Half Carry Out</t>
  </si>
  <si>
    <t>=-1</t>
  </si>
  <si>
    <t>Even Value</t>
  </si>
  <si>
    <t>Odd Parity</t>
  </si>
  <si>
    <t>Overflow</t>
  </si>
  <si>
    <t>Signed Even</t>
  </si>
  <si>
    <t>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</si>
</sst>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</cellStyleXfs>
  <cellXfs count="38">
    <xf numFmtId="0" fontId="0" fillId="0" borderId="0" xfId="0"/>
    <xf numFmtId="0" fontId="2" fillId="2" borderId="1" xfId="2"/>
    <xf numFmtId="0" fontId="3" fillId="3" borderId="1" xfId="3"/>
    <xf numFmtId="164" fontId="3" fillId="3" borderId="1" xfId="3" applyNumberFormat="1"/>
    <xf numFmtId="2" fontId="3" fillId="3" borderId="1" xfId="3" applyNumberFormat="1"/>
    <xf numFmtId="0" fontId="4" fillId="0" borderId="0" xfId="4"/>
    <xf numFmtId="164" fontId="3" fillId="3" borderId="1" xfId="1" applyNumberFormat="1" applyFont="1" applyFill="1" applyBorder="1"/>
    <xf numFmtId="0" fontId="2" fillId="2" borderId="2" xfId="2" applyBorder="1"/>
    <xf numFmtId="0" fontId="3" fillId="3" borderId="2" xfId="3" applyBorder="1"/>
    <xf numFmtId="0" fontId="3" fillId="3" borderId="1" xfId="3" applyBorder="1"/>
    <xf numFmtId="164" fontId="3" fillId="4" borderId="1" xfId="1" applyNumberFormat="1" applyFont="1" applyFill="1" applyBorder="1"/>
    <xf numFmtId="164" fontId="3" fillId="4" borderId="3" xfId="1" applyNumberFormat="1" applyFont="1" applyFill="1" applyBorder="1"/>
    <xf numFmtId="164" fontId="3" fillId="4" borderId="2" xfId="1" applyNumberFormat="1" applyFont="1" applyFill="1" applyBorder="1"/>
    <xf numFmtId="10" fontId="0" fillId="0" borderId="0" xfId="5" applyNumberFormat="1" applyFont="1"/>
    <xf numFmtId="10" fontId="3" fillId="4" borderId="3" xfId="5" applyNumberFormat="1" applyFont="1" applyFill="1" applyBorder="1"/>
    <xf numFmtId="10" fontId="3" fillId="4" borderId="1" xfId="5" applyNumberFormat="1" applyFont="1" applyFill="1" applyBorder="1"/>
    <xf numFmtId="10" fontId="3" fillId="4" borderId="2" xfId="5" applyNumberFormat="1" applyFont="1" applyFill="1" applyBorder="1"/>
    <xf numFmtId="165" fontId="3" fillId="3" borderId="1" xfId="3" applyNumberFormat="1"/>
    <xf numFmtId="0" fontId="0" fillId="0" borderId="0" xfId="0" quotePrefix="1"/>
    <xf numFmtId="0" fontId="0" fillId="0" borderId="0" xfId="0" applyAlignment="1">
      <alignment horizontal="right"/>
    </xf>
    <xf numFmtId="0" fontId="5" fillId="11" borderId="0" xfId="12"/>
    <xf numFmtId="0" fontId="1" fillId="5" borderId="0" xfId="6"/>
    <xf numFmtId="0" fontId="2" fillId="2" borderId="1" xfId="2" applyBorder="1"/>
    <xf numFmtId="0" fontId="1" fillId="5" borderId="0" xfId="6" quotePrefix="1" applyAlignment="1">
      <alignment vertical="center"/>
    </xf>
    <xf numFmtId="0" fontId="1" fillId="6" borderId="0" xfId="7" quotePrefix="1" applyAlignment="1">
      <alignment vertical="center"/>
    </xf>
    <xf numFmtId="0" fontId="1" fillId="6" borderId="0" xfId="7"/>
    <xf numFmtId="0" fontId="0" fillId="0" borderId="0" xfId="0" applyAlignment="1">
      <alignment textRotation="90"/>
    </xf>
    <xf numFmtId="0" fontId="5" fillId="11" borderId="0" xfId="12" applyAlignment="1">
      <alignment textRotation="90"/>
    </xf>
    <xf numFmtId="0" fontId="5" fillId="9" borderId="0" xfId="10"/>
    <xf numFmtId="0" fontId="1" fillId="10" borderId="0" xfId="11"/>
    <xf numFmtId="0" fontId="1" fillId="8" borderId="0" xfId="9"/>
    <xf numFmtId="0" fontId="1" fillId="7" borderId="0" xfId="8"/>
    <xf numFmtId="0" fontId="2" fillId="2" borderId="1" xfId="2" applyProtection="1">
      <protection locked="0"/>
    </xf>
    <xf numFmtId="164" fontId="3" fillId="3" borderId="3" xfId="1" applyNumberFormat="1" applyFont="1" applyFill="1" applyBorder="1"/>
    <xf numFmtId="0" fontId="0" fillId="0" borderId="0" xfId="0" applyAlignment="1">
      <alignment horizontal="center"/>
    </xf>
    <xf numFmtId="0" fontId="5" fillId="11" borderId="0" xfId="12" applyAlignment="1">
      <alignment horizontal="center" vertical="center"/>
    </xf>
    <xf numFmtId="0" fontId="5" fillId="11" borderId="0" xfId="12" applyAlignment="1">
      <alignment vertical="center"/>
    </xf>
    <xf numFmtId="0" fontId="5" fillId="11" borderId="0" xfId="12" applyAlignment="1">
      <alignment horizontal="center" textRotation="90"/>
    </xf>
  </cellXfs>
  <cellStyles count="13">
    <cellStyle name="20% - Accent3" xfId="6" builtinId="38"/>
    <cellStyle name="20% - Accent4" xfId="8" builtinId="42"/>
    <cellStyle name="40% - Accent3" xfId="7" builtinId="39"/>
    <cellStyle name="60% - Accent4" xfId="9" builtinId="44"/>
    <cellStyle name="60% - Accent5" xfId="11" builtinId="48"/>
    <cellStyle name="Accent5" xfId="10" builtinId="45"/>
    <cellStyle name="Accent6" xfId="12" builtinId="49"/>
    <cellStyle name="Calculation" xfId="3" builtinId="22"/>
    <cellStyle name="Comma" xfId="1" builtinId="3"/>
    <cellStyle name="Hyperlink" xfId="4" builtinId="8"/>
    <cellStyle name="Input" xfId="2" builtinId="20"/>
    <cellStyle name="Normal" xfId="0" builtinId="0"/>
    <cellStyle name="Percent" xfId="5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4" formatCode="0.00%"/>
      <fill>
        <patternFill patternType="solid">
          <fgColor indexed="64"/>
          <bgColor rgb="FFF2F2F2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border outline="0">
        <bottom style="thin">
          <color rgb="FF7F7F7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3BC43-9974-4885-8792-DFC9FEDC69A9}" name="Table2" displayName="Table2" ref="A1:K52" totalsRowShown="0" dataDxfId="8" tableBorderDxfId="7" dataCellStyle="Comma">
  <autoFilter ref="A1:K52" xr:uid="{EFF8115E-6764-4408-955A-9D8407645381}">
    <filterColumn colId="0">
      <filters>
        <filter val="1024"/>
        <filter val="1920"/>
        <filter val="800"/>
      </filters>
    </filterColumn>
    <filterColumn colId="2">
      <filters>
        <filter val="16"/>
        <filter val="24"/>
      </filters>
    </filterColumn>
  </autoFilter>
  <sortState xmlns:xlrd2="http://schemas.microsoft.com/office/spreadsheetml/2017/richdata2" ref="A2:K52">
    <sortCondition ref="F2:F52"/>
    <sortCondition descending="1" ref="C2:C52"/>
    <sortCondition ref="A2:A52"/>
  </sortState>
  <tableColumns count="11">
    <tableColumn id="1" xr3:uid="{1CDB2008-9C6F-4854-9FD6-ED46629EE4CA}" name="X Pixels" dataCellStyle="Input"/>
    <tableColumn id="2" xr3:uid="{A7E81562-FD88-4155-A990-1BCA04580FD0}" name="Pixels" dataCellStyle="Input"/>
    <tableColumn id="3" xr3:uid="{C05EFB5E-56D5-4876-B1FE-303215ACE543}" name="Bit Depth" dataCellStyle="Input"/>
    <tableColumn id="4" xr3:uid="{ABFAB628-E566-404B-A796-F64B20414895}" name="Word Size" dataCellStyle="Calculation">
      <calculatedColumnFormula>BitWidth</calculatedColumnFormula>
    </tableColumn>
    <tableColumn id="5" xr3:uid="{63ABD1D3-DA12-4438-AB30-44C2D800843B}" name="Total Pixels" dataDxfId="6" dataCellStyle="Comma">
      <calculatedColumnFormula>A2*B2</calculatedColumnFormula>
    </tableColumn>
    <tableColumn id="6" xr3:uid="{BB950646-6C98-41FF-AFBD-3F31279E54D9}" name="Required Bits" dataDxfId="5" dataCellStyle="Comma">
      <calculatedColumnFormula>C2*E2</calculatedColumnFormula>
    </tableColumn>
    <tableColumn id="10" xr3:uid="{590CF4CC-D57D-405D-A4CF-8E5E94A7512E}" name="Required Bytes" dataDxfId="4" dataCellStyle="Comma">
      <calculatedColumnFormula>Table2[[#This Row],[Required Bits]]/8</calculatedColumnFormula>
    </tableColumn>
    <tableColumn id="7" xr3:uid="{C5E47F49-0DD8-4849-B4CF-E25FB5F52467}" name="Address Space Required" dataDxfId="3" dataCellStyle="Comma">
      <calculatedColumnFormula>F2/D2</calculatedColumnFormula>
    </tableColumn>
    <tableColumn id="11" xr3:uid="{BBF0B675-2B7C-46D2-947F-8503ECD74656}" name="Address Lines Required" dataDxfId="2" dataCellStyle="Comma">
      <calculatedColumnFormula>_xlfn.CEILING.MATH(LOG(Table2[[#This Row],[Address Space Required]],2))</calculatedColumnFormula>
    </tableColumn>
    <tableColumn id="8" xr3:uid="{8C2125E9-1754-4550-8502-47F7BFB94BBB}" name="Available Address Space" dataDxfId="1" dataCellStyle="Comma">
      <calculatedColumnFormula>AddressSpace</calculatedColumnFormula>
    </tableColumn>
    <tableColumn id="9" xr3:uid="{03037241-A2E6-4F63-848C-3BC8222ACAA6}" name="Address Utilization" dataDxfId="0" dataCellStyle="Percent">
      <calculatedColumnFormula>Table2[[#This Row],[Address Space Required]]/Table2[[#This Row],[Available Address Space]]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B47524-7563-453B-A282-2052C9E1E1A5}" name="Table4" displayName="Table4" ref="A1:C13" totalsRowShown="0">
  <autoFilter ref="A1:C13" xr:uid="{A899CC0E-64AF-4815-9D9E-503147695439}"/>
  <tableColumns count="3">
    <tableColumn id="1" xr3:uid="{AC1E4E26-9F00-48AC-B00B-AA0C111DB267}" name="Processor"/>
    <tableColumn id="2" xr3:uid="{734E7F88-221A-4A06-A03A-B592B76770EA}" name="ALU Results"/>
    <tableColumn id="3" xr3:uid="{7FBA44D9-9341-4554-8E99-AE81372FB48E}" name="ALU Input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2A28C-961B-4318-A263-01BEB98EDCA6}" name="Table1" displayName="Table1" ref="A1:C11" totalsRowShown="0">
  <autoFilter ref="A1:C11" xr:uid="{91CE166F-B08E-4D34-9DFB-1DF6EAD8BE51}"/>
  <tableColumns count="3">
    <tableColumn id="1" xr3:uid="{FCAD59CA-CB22-41F6-8124-25413316F83C}" name="Name"/>
    <tableColumn id="2" xr3:uid="{89F91380-5567-4AB8-A07D-9F22E76A6F28}" name="Short"/>
    <tableColumn id="3" xr3:uid="{AE338FA0-640B-4A8A-9CFC-C0ECB1B7C3B1}" name="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B52B-8D29-4D89-BC62-6DF425FE6CB1}">
  <dimension ref="A1:J16"/>
  <sheetViews>
    <sheetView workbookViewId="0">
      <selection activeCell="C8" sqref="C8"/>
    </sheetView>
  </sheetViews>
  <sheetFormatPr defaultRowHeight="15" x14ac:dyDescent="0.25"/>
  <cols>
    <col min="1" max="1" width="11.5703125" bestFit="1" customWidth="1"/>
    <col min="2" max="2" width="24.140625" bestFit="1" customWidth="1"/>
    <col min="3" max="3" width="16.28515625" bestFit="1" customWidth="1"/>
    <col min="5" max="5" width="14.28515625" bestFit="1" customWidth="1"/>
    <col min="6" max="6" width="24.140625" bestFit="1" customWidth="1"/>
  </cols>
  <sheetData>
    <row r="1" spans="1:10" x14ac:dyDescent="0.25">
      <c r="A1" s="34" t="s">
        <v>3</v>
      </c>
      <c r="B1" s="34"/>
      <c r="C1" s="34"/>
      <c r="E1" s="34" t="s">
        <v>11</v>
      </c>
      <c r="F1" s="34"/>
    </row>
    <row r="2" spans="1:10" x14ac:dyDescent="0.25">
      <c r="A2" s="32">
        <f>1024*1024</f>
        <v>1048576</v>
      </c>
      <c r="B2" t="s">
        <v>0</v>
      </c>
      <c r="E2" s="32">
        <v>640</v>
      </c>
      <c r="F2" t="s">
        <v>4</v>
      </c>
    </row>
    <row r="3" spans="1:10" x14ac:dyDescent="0.25">
      <c r="A3" s="2">
        <f>_xlfn.CEILING.MATH(LOG(A2,2))</f>
        <v>20</v>
      </c>
      <c r="B3" t="s">
        <v>1</v>
      </c>
      <c r="C3" s="32">
        <v>19</v>
      </c>
      <c r="D3">
        <f>C3-C5</f>
        <v>3</v>
      </c>
      <c r="E3" s="32">
        <v>480</v>
      </c>
      <c r="F3" t="s">
        <v>5</v>
      </c>
      <c r="J3">
        <v>16</v>
      </c>
    </row>
    <row r="4" spans="1:10" x14ac:dyDescent="0.25">
      <c r="A4" s="3">
        <f>POWER(2,A3)</f>
        <v>1048576</v>
      </c>
      <c r="B4" t="s">
        <v>2</v>
      </c>
      <c r="C4" s="3">
        <f>POWER(2,C3)</f>
        <v>524288</v>
      </c>
      <c r="E4" s="32">
        <v>16</v>
      </c>
      <c r="F4" t="s">
        <v>6</v>
      </c>
      <c r="J4">
        <f>POWER(2,J3)</f>
        <v>65536</v>
      </c>
    </row>
    <row r="5" spans="1:10" x14ac:dyDescent="0.25">
      <c r="A5" s="32">
        <v>16</v>
      </c>
      <c r="B5" t="s">
        <v>10</v>
      </c>
      <c r="C5" s="2">
        <f>BitWidth</f>
        <v>16</v>
      </c>
      <c r="E5" s="4">
        <f>E4/3</f>
        <v>5.333333333333333</v>
      </c>
      <c r="F5" t="s">
        <v>7</v>
      </c>
      <c r="J5">
        <f>J4*16</f>
        <v>1048576</v>
      </c>
    </row>
    <row r="6" spans="1:10" x14ac:dyDescent="0.25">
      <c r="A6" s="3">
        <f>A5*A4</f>
        <v>16777216</v>
      </c>
      <c r="B6" t="s">
        <v>9</v>
      </c>
      <c r="C6" s="3">
        <f>C5*C4</f>
        <v>8388608</v>
      </c>
      <c r="E6" s="2">
        <f>_xlfn.FLOOR.MATH(E5)</f>
        <v>5</v>
      </c>
      <c r="F6" t="s">
        <v>8</v>
      </c>
    </row>
    <row r="7" spans="1:10" x14ac:dyDescent="0.25">
      <c r="A7" s="2">
        <f>A5/8</f>
        <v>2</v>
      </c>
      <c r="B7" t="s">
        <v>12</v>
      </c>
      <c r="C7" s="2">
        <f>C5/8</f>
        <v>2</v>
      </c>
      <c r="E7" s="3">
        <f>E2*E3</f>
        <v>307200</v>
      </c>
      <c r="F7" t="s">
        <v>14</v>
      </c>
    </row>
    <row r="8" spans="1:10" x14ac:dyDescent="0.25">
      <c r="A8" s="3">
        <f>A6/A7</f>
        <v>8388608</v>
      </c>
      <c r="B8" t="s">
        <v>13</v>
      </c>
      <c r="C8" s="3">
        <f>C6/8</f>
        <v>1048576</v>
      </c>
      <c r="E8" s="3">
        <f>E7*E4</f>
        <v>4915200</v>
      </c>
      <c r="F8" t="s">
        <v>15</v>
      </c>
    </row>
    <row r="9" spans="1:10" x14ac:dyDescent="0.25">
      <c r="A9" s="3">
        <f>A8/1024</f>
        <v>8192</v>
      </c>
      <c r="B9" t="s">
        <v>50</v>
      </c>
      <c r="C9" s="3">
        <f>C8/1024</f>
        <v>1024</v>
      </c>
      <c r="E9" s="2">
        <f>BitWidth</f>
        <v>16</v>
      </c>
      <c r="F9" t="str">
        <f>B5</f>
        <v>width (in bits) [word size]</v>
      </c>
    </row>
    <row r="10" spans="1:10" x14ac:dyDescent="0.25">
      <c r="A10" s="3">
        <f>A9/1024</f>
        <v>8</v>
      </c>
      <c r="B10" t="s">
        <v>51</v>
      </c>
      <c r="C10" s="3">
        <f>C9/1024</f>
        <v>1</v>
      </c>
      <c r="E10" s="3">
        <f>E8/E9</f>
        <v>307200</v>
      </c>
      <c r="F10" t="s">
        <v>16</v>
      </c>
    </row>
    <row r="11" spans="1:10" x14ac:dyDescent="0.25">
      <c r="A11" s="3">
        <f>A10/1024</f>
        <v>7.8125E-3</v>
      </c>
      <c r="B11" t="s">
        <v>52</v>
      </c>
      <c r="C11" s="3">
        <f>C10/1024</f>
        <v>9.765625E-4</v>
      </c>
      <c r="E11" s="3">
        <f>AddressSpace</f>
        <v>524288</v>
      </c>
      <c r="F11" t="s">
        <v>26</v>
      </c>
    </row>
    <row r="12" spans="1:10" x14ac:dyDescent="0.25">
      <c r="E12" s="17">
        <f>E10/E11</f>
        <v>0.5859375</v>
      </c>
      <c r="F12" t="s">
        <v>27</v>
      </c>
    </row>
    <row r="13" spans="1:10" x14ac:dyDescent="0.25">
      <c r="F13" s="5"/>
    </row>
    <row r="14" spans="1:10" x14ac:dyDescent="0.25">
      <c r="F14" s="5"/>
    </row>
    <row r="15" spans="1:10" x14ac:dyDescent="0.25">
      <c r="F15" s="5"/>
    </row>
    <row r="16" spans="1:10" x14ac:dyDescent="0.25">
      <c r="F16" s="5"/>
    </row>
  </sheetData>
  <mergeCells count="2">
    <mergeCell ref="A1:C1"/>
    <mergeCell ref="E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3E5B-34CD-4515-847C-CCDF1610B1A8}">
  <dimension ref="A1:L52"/>
  <sheetViews>
    <sheetView workbookViewId="0">
      <selection activeCell="I3" sqref="I3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1.5703125" bestFit="1" customWidth="1"/>
    <col min="4" max="4" width="12.28515625" bestFit="1" customWidth="1"/>
    <col min="5" max="5" width="13.42578125" bestFit="1" customWidth="1"/>
    <col min="6" max="6" width="15.140625" bestFit="1" customWidth="1"/>
    <col min="7" max="7" width="15.140625" customWidth="1"/>
    <col min="8" max="8" width="25" bestFit="1" customWidth="1"/>
    <col min="9" max="9" width="25" customWidth="1"/>
    <col min="10" max="10" width="24.140625" bestFit="1" customWidth="1"/>
    <col min="11" max="11" width="20.42578125" style="13" bestFit="1" customWidth="1"/>
  </cols>
  <sheetData>
    <row r="1" spans="1:11" x14ac:dyDescent="0.25">
      <c r="A1" t="s">
        <v>17</v>
      </c>
      <c r="B1" t="s">
        <v>23</v>
      </c>
      <c r="C1" t="s">
        <v>18</v>
      </c>
      <c r="D1" t="s">
        <v>20</v>
      </c>
      <c r="E1" t="s">
        <v>14</v>
      </c>
      <c r="F1" t="s">
        <v>19</v>
      </c>
      <c r="G1" t="s">
        <v>25</v>
      </c>
      <c r="H1" t="s">
        <v>21</v>
      </c>
      <c r="I1" t="s">
        <v>129</v>
      </c>
      <c r="J1" t="s">
        <v>22</v>
      </c>
      <c r="K1" s="13" t="s">
        <v>24</v>
      </c>
    </row>
    <row r="2" spans="1:11" hidden="1" x14ac:dyDescent="0.25">
      <c r="A2" s="1">
        <v>320</v>
      </c>
      <c r="B2" s="1">
        <v>200</v>
      </c>
      <c r="C2" s="1">
        <v>1</v>
      </c>
      <c r="D2" s="2">
        <f t="shared" ref="D2:D33" si="0">BitWidth</f>
        <v>16</v>
      </c>
      <c r="E2" s="6">
        <f t="shared" ref="E2:E33" si="1">A2*B2</f>
        <v>64000</v>
      </c>
      <c r="F2" s="6">
        <f t="shared" ref="F2:F33" si="2">C2*E2</f>
        <v>64000</v>
      </c>
      <c r="G2" s="6">
        <f>Table2[[#This Row],[Required Bits]]/8</f>
        <v>8000</v>
      </c>
      <c r="H2" s="6">
        <f t="shared" ref="H2:H33" si="3">F2/D2</f>
        <v>4000</v>
      </c>
      <c r="I2" s="33">
        <f>_xlfn.CEILING.MATH(LOG(Table2[[#This Row],[Address Space Required]],2))</f>
        <v>12</v>
      </c>
      <c r="J2" s="11">
        <f t="shared" ref="J2:J33" si="4">AddressSpace</f>
        <v>524288</v>
      </c>
      <c r="K2" s="14">
        <f>Table2[[#This Row],[Address Space Required]]/Table2[[#This Row],[Available Address Space]]</f>
        <v>7.62939453125E-3</v>
      </c>
    </row>
    <row r="3" spans="1:11" hidden="1" x14ac:dyDescent="0.25">
      <c r="A3" s="1">
        <v>320</v>
      </c>
      <c r="B3" s="1">
        <v>200</v>
      </c>
      <c r="C3" s="1">
        <v>2</v>
      </c>
      <c r="D3" s="2">
        <f t="shared" si="0"/>
        <v>16</v>
      </c>
      <c r="E3" s="6">
        <f t="shared" si="1"/>
        <v>64000</v>
      </c>
      <c r="F3" s="6">
        <f t="shared" si="2"/>
        <v>128000</v>
      </c>
      <c r="G3" s="6">
        <f>Table2[[#This Row],[Required Bits]]/8</f>
        <v>16000</v>
      </c>
      <c r="H3" s="6">
        <f t="shared" si="3"/>
        <v>8000</v>
      </c>
      <c r="I3" s="6">
        <f>_xlfn.CEILING.MATH(LOG(Table2[[#This Row],[Address Space Required]],2))</f>
        <v>13</v>
      </c>
      <c r="J3" s="10">
        <f t="shared" si="4"/>
        <v>524288</v>
      </c>
      <c r="K3" s="15">
        <f>Table2[[#This Row],[Address Space Required]]/Table2[[#This Row],[Available Address Space]]</f>
        <v>1.52587890625E-2</v>
      </c>
    </row>
    <row r="4" spans="1:11" hidden="1" x14ac:dyDescent="0.25">
      <c r="A4" s="1">
        <v>320</v>
      </c>
      <c r="B4" s="1">
        <v>200</v>
      </c>
      <c r="C4" s="1">
        <v>4</v>
      </c>
      <c r="D4" s="2">
        <f t="shared" si="0"/>
        <v>16</v>
      </c>
      <c r="E4" s="6">
        <f t="shared" si="1"/>
        <v>64000</v>
      </c>
      <c r="F4" s="6">
        <f t="shared" si="2"/>
        <v>256000</v>
      </c>
      <c r="G4" s="6">
        <f>Table2[[#This Row],[Required Bits]]/8</f>
        <v>32000</v>
      </c>
      <c r="H4" s="6">
        <f t="shared" si="3"/>
        <v>16000</v>
      </c>
      <c r="I4" s="6">
        <f>_xlfn.CEILING.MATH(LOG(Table2[[#This Row],[Address Space Required]],2))</f>
        <v>14</v>
      </c>
      <c r="J4" s="10">
        <f t="shared" si="4"/>
        <v>524288</v>
      </c>
      <c r="K4" s="15">
        <f>Table2[[#This Row],[Address Space Required]]/Table2[[#This Row],[Available Address Space]]</f>
        <v>3.0517578125E-2</v>
      </c>
    </row>
    <row r="5" spans="1:11" hidden="1" x14ac:dyDescent="0.25">
      <c r="A5" s="1">
        <v>640</v>
      </c>
      <c r="B5" s="1">
        <v>480</v>
      </c>
      <c r="C5" s="1">
        <v>1</v>
      </c>
      <c r="D5" s="2">
        <f t="shared" si="0"/>
        <v>16</v>
      </c>
      <c r="E5" s="6">
        <f t="shared" si="1"/>
        <v>307200</v>
      </c>
      <c r="F5" s="6">
        <f t="shared" si="2"/>
        <v>307200</v>
      </c>
      <c r="G5" s="6">
        <f>Table2[[#This Row],[Required Bits]]/8</f>
        <v>38400</v>
      </c>
      <c r="H5" s="6">
        <f t="shared" si="3"/>
        <v>19200</v>
      </c>
      <c r="I5" s="6">
        <f>_xlfn.CEILING.MATH(LOG(Table2[[#This Row],[Address Space Required]],2))</f>
        <v>15</v>
      </c>
      <c r="J5" s="10">
        <f t="shared" si="4"/>
        <v>524288</v>
      </c>
      <c r="K5" s="15">
        <f>Table2[[#This Row],[Address Space Required]]/Table2[[#This Row],[Available Address Space]]</f>
        <v>3.662109375E-2</v>
      </c>
    </row>
    <row r="6" spans="1:11" hidden="1" x14ac:dyDescent="0.25">
      <c r="A6" s="1">
        <v>800</v>
      </c>
      <c r="B6" s="1">
        <v>600</v>
      </c>
      <c r="C6" s="1">
        <v>1</v>
      </c>
      <c r="D6" s="2">
        <f t="shared" si="0"/>
        <v>16</v>
      </c>
      <c r="E6" s="6">
        <f t="shared" si="1"/>
        <v>480000</v>
      </c>
      <c r="F6" s="6">
        <f t="shared" si="2"/>
        <v>480000</v>
      </c>
      <c r="G6" s="6">
        <f>Table2[[#This Row],[Required Bits]]/8</f>
        <v>60000</v>
      </c>
      <c r="H6" s="6">
        <f t="shared" si="3"/>
        <v>30000</v>
      </c>
      <c r="I6" s="6">
        <f>_xlfn.CEILING.MATH(LOG(Table2[[#This Row],[Address Space Required]],2))</f>
        <v>15</v>
      </c>
      <c r="J6" s="10">
        <f t="shared" si="4"/>
        <v>524288</v>
      </c>
      <c r="K6" s="15">
        <f>Table2[[#This Row],[Address Space Required]]/Table2[[#This Row],[Available Address Space]]</f>
        <v>5.7220458984375E-2</v>
      </c>
    </row>
    <row r="7" spans="1:11" hidden="1" x14ac:dyDescent="0.25">
      <c r="A7" s="1">
        <v>320</v>
      </c>
      <c r="B7" s="1">
        <v>200</v>
      </c>
      <c r="C7" s="1">
        <v>8</v>
      </c>
      <c r="D7" s="2">
        <f t="shared" si="0"/>
        <v>16</v>
      </c>
      <c r="E7" s="6">
        <f t="shared" si="1"/>
        <v>64000</v>
      </c>
      <c r="F7" s="6">
        <f t="shared" si="2"/>
        <v>512000</v>
      </c>
      <c r="G7" s="6">
        <f>Table2[[#This Row],[Required Bits]]/8</f>
        <v>64000</v>
      </c>
      <c r="H7" s="6">
        <f t="shared" si="3"/>
        <v>32000</v>
      </c>
      <c r="I7" s="6">
        <f>_xlfn.CEILING.MATH(LOG(Table2[[#This Row],[Address Space Required]],2))</f>
        <v>15</v>
      </c>
      <c r="J7" s="10">
        <f t="shared" si="4"/>
        <v>524288</v>
      </c>
      <c r="K7" s="15">
        <f>Table2[[#This Row],[Address Space Required]]/Table2[[#This Row],[Available Address Space]]</f>
        <v>6.103515625E-2</v>
      </c>
    </row>
    <row r="8" spans="1:11" hidden="1" x14ac:dyDescent="0.25">
      <c r="A8" s="1">
        <v>640</v>
      </c>
      <c r="B8" s="1">
        <v>480</v>
      </c>
      <c r="C8" s="1">
        <v>2</v>
      </c>
      <c r="D8" s="2">
        <f t="shared" si="0"/>
        <v>16</v>
      </c>
      <c r="E8" s="6">
        <f t="shared" si="1"/>
        <v>307200</v>
      </c>
      <c r="F8" s="6">
        <f t="shared" si="2"/>
        <v>614400</v>
      </c>
      <c r="G8" s="6">
        <f>Table2[[#This Row],[Required Bits]]/8</f>
        <v>76800</v>
      </c>
      <c r="H8" s="6">
        <f t="shared" si="3"/>
        <v>38400</v>
      </c>
      <c r="I8" s="6">
        <f>_xlfn.CEILING.MATH(LOG(Table2[[#This Row],[Address Space Required]],2))</f>
        <v>16</v>
      </c>
      <c r="J8" s="10">
        <f t="shared" si="4"/>
        <v>524288</v>
      </c>
      <c r="K8" s="15">
        <f>Table2[[#This Row],[Address Space Required]]/Table2[[#This Row],[Available Address Space]]</f>
        <v>7.32421875E-2</v>
      </c>
    </row>
    <row r="9" spans="1:11" hidden="1" x14ac:dyDescent="0.25">
      <c r="A9" s="1">
        <v>1024</v>
      </c>
      <c r="B9" s="1">
        <v>768</v>
      </c>
      <c r="C9" s="1">
        <v>1</v>
      </c>
      <c r="D9" s="2">
        <f t="shared" si="0"/>
        <v>16</v>
      </c>
      <c r="E9" s="6">
        <f t="shared" si="1"/>
        <v>786432</v>
      </c>
      <c r="F9" s="6">
        <f t="shared" si="2"/>
        <v>786432</v>
      </c>
      <c r="G9" s="6">
        <f>Table2[[#This Row],[Required Bits]]/8</f>
        <v>98304</v>
      </c>
      <c r="H9" s="6">
        <f t="shared" si="3"/>
        <v>49152</v>
      </c>
      <c r="I9" s="6">
        <f>_xlfn.CEILING.MATH(LOG(Table2[[#This Row],[Address Space Required]],2))</f>
        <v>16</v>
      </c>
      <c r="J9" s="10">
        <f t="shared" si="4"/>
        <v>524288</v>
      </c>
      <c r="K9" s="15">
        <f>Table2[[#This Row],[Address Space Required]]/Table2[[#This Row],[Available Address Space]]</f>
        <v>9.375E-2</v>
      </c>
    </row>
    <row r="10" spans="1:11" hidden="1" x14ac:dyDescent="0.25">
      <c r="A10" s="1">
        <v>800</v>
      </c>
      <c r="B10" s="1">
        <v>600</v>
      </c>
      <c r="C10" s="1">
        <v>2</v>
      </c>
      <c r="D10" s="2">
        <f t="shared" si="0"/>
        <v>16</v>
      </c>
      <c r="E10" s="6">
        <f t="shared" si="1"/>
        <v>480000</v>
      </c>
      <c r="F10" s="6">
        <f t="shared" si="2"/>
        <v>960000</v>
      </c>
      <c r="G10" s="6">
        <f>Table2[[#This Row],[Required Bits]]/8</f>
        <v>120000</v>
      </c>
      <c r="H10" s="6">
        <f t="shared" si="3"/>
        <v>60000</v>
      </c>
      <c r="I10" s="6">
        <f>_xlfn.CEILING.MATH(LOG(Table2[[#This Row],[Address Space Required]],2))</f>
        <v>16</v>
      </c>
      <c r="J10" s="10">
        <f t="shared" si="4"/>
        <v>524288</v>
      </c>
      <c r="K10" s="15">
        <f>Table2[[#This Row],[Address Space Required]]/Table2[[#This Row],[Available Address Space]]</f>
        <v>0.11444091796875</v>
      </c>
    </row>
    <row r="11" spans="1:11" hidden="1" x14ac:dyDescent="0.25">
      <c r="A11" s="1">
        <v>320</v>
      </c>
      <c r="B11" s="1">
        <v>200</v>
      </c>
      <c r="C11" s="1">
        <v>16</v>
      </c>
      <c r="D11" s="2">
        <f t="shared" si="0"/>
        <v>16</v>
      </c>
      <c r="E11" s="6">
        <f t="shared" si="1"/>
        <v>64000</v>
      </c>
      <c r="F11" s="6">
        <f t="shared" si="2"/>
        <v>1024000</v>
      </c>
      <c r="G11" s="6">
        <f>Table2[[#This Row],[Required Bits]]/8</f>
        <v>128000</v>
      </c>
      <c r="H11" s="6">
        <f t="shared" si="3"/>
        <v>64000</v>
      </c>
      <c r="I11" s="6">
        <f>_xlfn.CEILING.MATH(LOG(Table2[[#This Row],[Address Space Required]],2))</f>
        <v>16</v>
      </c>
      <c r="J11" s="10">
        <f t="shared" si="4"/>
        <v>524288</v>
      </c>
      <c r="K11" s="15">
        <f>Table2[[#This Row],[Address Space Required]]/Table2[[#This Row],[Available Address Space]]</f>
        <v>0.1220703125</v>
      </c>
    </row>
    <row r="12" spans="1:11" hidden="1" x14ac:dyDescent="0.25">
      <c r="A12" s="1">
        <v>640</v>
      </c>
      <c r="B12" s="1">
        <v>480</v>
      </c>
      <c r="C12" s="1">
        <v>4</v>
      </c>
      <c r="D12" s="2">
        <f t="shared" si="0"/>
        <v>16</v>
      </c>
      <c r="E12" s="6">
        <f t="shared" si="1"/>
        <v>307200</v>
      </c>
      <c r="F12" s="6">
        <f t="shared" si="2"/>
        <v>1228800</v>
      </c>
      <c r="G12" s="6">
        <f>Table2[[#This Row],[Required Bits]]/8</f>
        <v>153600</v>
      </c>
      <c r="H12" s="6">
        <f t="shared" si="3"/>
        <v>76800</v>
      </c>
      <c r="I12" s="6">
        <f>_xlfn.CEILING.MATH(LOG(Table2[[#This Row],[Address Space Required]],2))</f>
        <v>17</v>
      </c>
      <c r="J12" s="10">
        <f t="shared" si="4"/>
        <v>524288</v>
      </c>
      <c r="K12" s="15">
        <f>Table2[[#This Row],[Address Space Required]]/Table2[[#This Row],[Available Address Space]]</f>
        <v>0.146484375</v>
      </c>
    </row>
    <row r="13" spans="1:11" hidden="1" x14ac:dyDescent="0.25">
      <c r="A13" s="1">
        <v>1024</v>
      </c>
      <c r="B13" s="1">
        <v>768</v>
      </c>
      <c r="C13" s="1">
        <v>2</v>
      </c>
      <c r="D13" s="2">
        <f t="shared" si="0"/>
        <v>16</v>
      </c>
      <c r="E13" s="6">
        <f t="shared" si="1"/>
        <v>786432</v>
      </c>
      <c r="F13" s="6">
        <f t="shared" si="2"/>
        <v>1572864</v>
      </c>
      <c r="G13" s="6">
        <f>Table2[[#This Row],[Required Bits]]/8</f>
        <v>196608</v>
      </c>
      <c r="H13" s="6">
        <f t="shared" si="3"/>
        <v>98304</v>
      </c>
      <c r="I13" s="6">
        <f>_xlfn.CEILING.MATH(LOG(Table2[[#This Row],[Address Space Required]],2))</f>
        <v>17</v>
      </c>
      <c r="J13" s="10">
        <f t="shared" si="4"/>
        <v>524288</v>
      </c>
      <c r="K13" s="15">
        <f>Table2[[#This Row],[Address Space Required]]/Table2[[#This Row],[Available Address Space]]</f>
        <v>0.1875</v>
      </c>
    </row>
    <row r="14" spans="1:11" hidden="1" x14ac:dyDescent="0.25">
      <c r="A14" s="1">
        <v>800</v>
      </c>
      <c r="B14" s="1">
        <v>600</v>
      </c>
      <c r="C14" s="1">
        <v>4</v>
      </c>
      <c r="D14" s="2">
        <f t="shared" si="0"/>
        <v>16</v>
      </c>
      <c r="E14" s="6">
        <f t="shared" si="1"/>
        <v>480000</v>
      </c>
      <c r="F14" s="6">
        <f t="shared" si="2"/>
        <v>1920000</v>
      </c>
      <c r="G14" s="6">
        <f>Table2[[#This Row],[Required Bits]]/8</f>
        <v>240000</v>
      </c>
      <c r="H14" s="6">
        <f t="shared" si="3"/>
        <v>120000</v>
      </c>
      <c r="I14" s="6">
        <f>_xlfn.CEILING.MATH(LOG(Table2[[#This Row],[Address Space Required]],2))</f>
        <v>17</v>
      </c>
      <c r="J14" s="10">
        <f t="shared" si="4"/>
        <v>524288</v>
      </c>
      <c r="K14" s="15">
        <f>Table2[[#This Row],[Address Space Required]]/Table2[[#This Row],[Available Address Space]]</f>
        <v>0.2288818359375</v>
      </c>
    </row>
    <row r="15" spans="1:11" hidden="1" x14ac:dyDescent="0.25">
      <c r="A15" s="1">
        <v>1920</v>
      </c>
      <c r="B15" s="1">
        <v>1080</v>
      </c>
      <c r="C15" s="1">
        <v>1</v>
      </c>
      <c r="D15" s="9">
        <f t="shared" si="0"/>
        <v>16</v>
      </c>
      <c r="E15" s="6">
        <f t="shared" si="1"/>
        <v>2073600</v>
      </c>
      <c r="F15" s="6">
        <f t="shared" si="2"/>
        <v>2073600</v>
      </c>
      <c r="G15" s="6">
        <f>Table2[[#This Row],[Required Bits]]/8</f>
        <v>259200</v>
      </c>
      <c r="H15" s="6">
        <f t="shared" si="3"/>
        <v>129600</v>
      </c>
      <c r="I15" s="6">
        <f>_xlfn.CEILING.MATH(LOG(Table2[[#This Row],[Address Space Required]],2))</f>
        <v>17</v>
      </c>
      <c r="J15" s="10">
        <f t="shared" si="4"/>
        <v>524288</v>
      </c>
      <c r="K15" s="15">
        <f>Table2[[#This Row],[Address Space Required]]/Table2[[#This Row],[Available Address Space]]</f>
        <v>0.2471923828125</v>
      </c>
    </row>
    <row r="16" spans="1:11" hidden="1" x14ac:dyDescent="0.25">
      <c r="A16" s="1">
        <v>1920</v>
      </c>
      <c r="B16" s="1">
        <v>1200</v>
      </c>
      <c r="C16" s="1">
        <v>1</v>
      </c>
      <c r="D16" s="2">
        <f t="shared" si="0"/>
        <v>16</v>
      </c>
      <c r="E16" s="10">
        <f t="shared" si="1"/>
        <v>2304000</v>
      </c>
      <c r="F16" s="10">
        <f t="shared" si="2"/>
        <v>2304000</v>
      </c>
      <c r="G16" s="10">
        <f>Table2[[#This Row],[Required Bits]]/8</f>
        <v>288000</v>
      </c>
      <c r="H16" s="10">
        <f t="shared" si="3"/>
        <v>144000</v>
      </c>
      <c r="I16" s="10">
        <f>_xlfn.CEILING.MATH(LOG(Table2[[#This Row],[Address Space Required]],2))</f>
        <v>18</v>
      </c>
      <c r="J16" s="10">
        <f t="shared" si="4"/>
        <v>524288</v>
      </c>
      <c r="K16" s="15">
        <f>Table2[[#This Row],[Address Space Required]]/Table2[[#This Row],[Available Address Space]]</f>
        <v>0.274658203125</v>
      </c>
    </row>
    <row r="17" spans="1:12" hidden="1" x14ac:dyDescent="0.25">
      <c r="A17" s="1">
        <v>640</v>
      </c>
      <c r="B17" s="1">
        <v>480</v>
      </c>
      <c r="C17" s="1">
        <v>8</v>
      </c>
      <c r="D17" s="2">
        <f t="shared" si="0"/>
        <v>16</v>
      </c>
      <c r="E17" s="6">
        <f t="shared" si="1"/>
        <v>307200</v>
      </c>
      <c r="F17" s="6">
        <f t="shared" si="2"/>
        <v>2457600</v>
      </c>
      <c r="G17" s="6">
        <f>Table2[[#This Row],[Required Bits]]/8</f>
        <v>307200</v>
      </c>
      <c r="H17" s="6">
        <f t="shared" si="3"/>
        <v>153600</v>
      </c>
      <c r="I17" s="6">
        <f>_xlfn.CEILING.MATH(LOG(Table2[[#This Row],[Address Space Required]],2))</f>
        <v>18</v>
      </c>
      <c r="J17" s="10">
        <f t="shared" si="4"/>
        <v>524288</v>
      </c>
      <c r="K17" s="15">
        <f>Table2[[#This Row],[Address Space Required]]/Table2[[#This Row],[Available Address Space]]</f>
        <v>0.29296875</v>
      </c>
    </row>
    <row r="18" spans="1:12" hidden="1" x14ac:dyDescent="0.25">
      <c r="A18" s="1">
        <v>1024</v>
      </c>
      <c r="B18" s="1">
        <v>768</v>
      </c>
      <c r="C18" s="1">
        <v>4</v>
      </c>
      <c r="D18" s="2">
        <f t="shared" si="0"/>
        <v>16</v>
      </c>
      <c r="E18" s="6">
        <f t="shared" si="1"/>
        <v>786432</v>
      </c>
      <c r="F18" s="6">
        <f t="shared" si="2"/>
        <v>3145728</v>
      </c>
      <c r="G18" s="6">
        <f>Table2[[#This Row],[Required Bits]]/8</f>
        <v>393216</v>
      </c>
      <c r="H18" s="6">
        <f t="shared" si="3"/>
        <v>196608</v>
      </c>
      <c r="I18" s="6">
        <f>_xlfn.CEILING.MATH(LOG(Table2[[#This Row],[Address Space Required]],2))</f>
        <v>18</v>
      </c>
      <c r="J18" s="10">
        <f t="shared" si="4"/>
        <v>524288</v>
      </c>
      <c r="K18" s="15">
        <f>Table2[[#This Row],[Address Space Required]]/Table2[[#This Row],[Available Address Space]]</f>
        <v>0.375</v>
      </c>
    </row>
    <row r="19" spans="1:12" hidden="1" x14ac:dyDescent="0.25">
      <c r="A19" s="1">
        <v>800</v>
      </c>
      <c r="B19" s="1">
        <v>600</v>
      </c>
      <c r="C19" s="1">
        <v>8</v>
      </c>
      <c r="D19" s="9">
        <f t="shared" si="0"/>
        <v>16</v>
      </c>
      <c r="E19" s="6">
        <f t="shared" si="1"/>
        <v>480000</v>
      </c>
      <c r="F19" s="6">
        <f t="shared" si="2"/>
        <v>3840000</v>
      </c>
      <c r="G19" s="6">
        <f>Table2[[#This Row],[Required Bits]]/8</f>
        <v>480000</v>
      </c>
      <c r="H19" s="6">
        <f t="shared" si="3"/>
        <v>240000</v>
      </c>
      <c r="I19" s="6">
        <f>_xlfn.CEILING.MATH(LOG(Table2[[#This Row],[Address Space Required]],2))</f>
        <v>18</v>
      </c>
      <c r="J19" s="10">
        <f t="shared" si="4"/>
        <v>524288</v>
      </c>
      <c r="K19" s="15">
        <f>Table2[[#This Row],[Address Space Required]]/Table2[[#This Row],[Available Address Space]]</f>
        <v>0.457763671875</v>
      </c>
    </row>
    <row r="20" spans="1:12" hidden="1" x14ac:dyDescent="0.25">
      <c r="A20" s="1">
        <v>1920</v>
      </c>
      <c r="B20" s="1">
        <v>1080</v>
      </c>
      <c r="C20" s="1">
        <v>2</v>
      </c>
      <c r="D20" s="9">
        <f t="shared" si="0"/>
        <v>16</v>
      </c>
      <c r="E20" s="6">
        <f t="shared" si="1"/>
        <v>2073600</v>
      </c>
      <c r="F20" s="6">
        <f t="shared" si="2"/>
        <v>4147200</v>
      </c>
      <c r="G20" s="6">
        <f>Table2[[#This Row],[Required Bits]]/8</f>
        <v>518400</v>
      </c>
      <c r="H20" s="6">
        <f t="shared" si="3"/>
        <v>259200</v>
      </c>
      <c r="I20" s="6">
        <f>_xlfn.CEILING.MATH(LOG(Table2[[#This Row],[Address Space Required]],2))</f>
        <v>18</v>
      </c>
      <c r="J20" s="10">
        <f t="shared" si="4"/>
        <v>524288</v>
      </c>
      <c r="K20" s="15">
        <f>Table2[[#This Row],[Address Space Required]]/Table2[[#This Row],[Available Address Space]]</f>
        <v>0.494384765625</v>
      </c>
    </row>
    <row r="21" spans="1:12" hidden="1" x14ac:dyDescent="0.25">
      <c r="A21" s="1">
        <v>1920</v>
      </c>
      <c r="B21" s="1">
        <v>1200</v>
      </c>
      <c r="C21" s="1">
        <v>2</v>
      </c>
      <c r="D21" s="2">
        <f t="shared" si="0"/>
        <v>16</v>
      </c>
      <c r="E21" s="10">
        <f t="shared" si="1"/>
        <v>2304000</v>
      </c>
      <c r="F21" s="10">
        <f t="shared" si="2"/>
        <v>4608000</v>
      </c>
      <c r="G21" s="10">
        <f>Table2[[#This Row],[Required Bits]]/8</f>
        <v>576000</v>
      </c>
      <c r="H21" s="10">
        <f t="shared" si="3"/>
        <v>288000</v>
      </c>
      <c r="I21" s="10">
        <f>_xlfn.CEILING.MATH(LOG(Table2[[#This Row],[Address Space Required]],2))</f>
        <v>19</v>
      </c>
      <c r="J21" s="10">
        <f t="shared" si="4"/>
        <v>524288</v>
      </c>
      <c r="K21" s="15">
        <f>Table2[[#This Row],[Address Space Required]]/Table2[[#This Row],[Available Address Space]]</f>
        <v>0.54931640625</v>
      </c>
    </row>
    <row r="22" spans="1:12" hidden="1" x14ac:dyDescent="0.25">
      <c r="A22" s="1">
        <v>640</v>
      </c>
      <c r="B22" s="1">
        <v>480</v>
      </c>
      <c r="C22" s="1">
        <v>16</v>
      </c>
      <c r="D22" s="2">
        <f t="shared" si="0"/>
        <v>16</v>
      </c>
      <c r="E22" s="6">
        <f t="shared" si="1"/>
        <v>307200</v>
      </c>
      <c r="F22" s="6">
        <f t="shared" si="2"/>
        <v>4915200</v>
      </c>
      <c r="G22" s="6">
        <f>Table2[[#This Row],[Required Bits]]/8</f>
        <v>614400</v>
      </c>
      <c r="H22" s="6">
        <f t="shared" si="3"/>
        <v>307200</v>
      </c>
      <c r="I22" s="6">
        <f>_xlfn.CEILING.MATH(LOG(Table2[[#This Row],[Address Space Required]],2))</f>
        <v>19</v>
      </c>
      <c r="J22" s="10">
        <f t="shared" si="4"/>
        <v>524288</v>
      </c>
      <c r="K22" s="15">
        <f>Table2[[#This Row],[Address Space Required]]/Table2[[#This Row],[Available Address Space]]</f>
        <v>0.5859375</v>
      </c>
    </row>
    <row r="23" spans="1:12" hidden="1" x14ac:dyDescent="0.25">
      <c r="A23" s="1">
        <v>1024</v>
      </c>
      <c r="B23" s="1">
        <v>768</v>
      </c>
      <c r="C23" s="1">
        <v>8</v>
      </c>
      <c r="D23" s="2">
        <f t="shared" si="0"/>
        <v>16</v>
      </c>
      <c r="E23" s="6">
        <f t="shared" si="1"/>
        <v>786432</v>
      </c>
      <c r="F23" s="6">
        <f t="shared" si="2"/>
        <v>6291456</v>
      </c>
      <c r="G23" s="6">
        <f>Table2[[#This Row],[Required Bits]]/8</f>
        <v>786432</v>
      </c>
      <c r="H23" s="6">
        <f t="shared" si="3"/>
        <v>393216</v>
      </c>
      <c r="I23" s="6">
        <f>_xlfn.CEILING.MATH(LOG(Table2[[#This Row],[Address Space Required]],2))</f>
        <v>19</v>
      </c>
      <c r="J23" s="10">
        <f t="shared" si="4"/>
        <v>524288</v>
      </c>
      <c r="K23" s="15">
        <f>Table2[[#This Row],[Address Space Required]]/Table2[[#This Row],[Available Address Space]]</f>
        <v>0.75</v>
      </c>
    </row>
    <row r="24" spans="1:12" x14ac:dyDescent="0.25">
      <c r="A24" s="1">
        <v>800</v>
      </c>
      <c r="B24" s="1">
        <v>600</v>
      </c>
      <c r="C24" s="1">
        <v>16</v>
      </c>
      <c r="D24" s="2">
        <f t="shared" si="0"/>
        <v>16</v>
      </c>
      <c r="E24" s="6">
        <f t="shared" si="1"/>
        <v>480000</v>
      </c>
      <c r="F24" s="6">
        <f t="shared" si="2"/>
        <v>7680000</v>
      </c>
      <c r="G24" s="6">
        <f>Table2[[#This Row],[Required Bits]]/8</f>
        <v>960000</v>
      </c>
      <c r="H24" s="6">
        <f t="shared" si="3"/>
        <v>480000</v>
      </c>
      <c r="I24" s="6">
        <f>_xlfn.CEILING.MATH(LOG(Table2[[#This Row],[Address Space Required]],2))</f>
        <v>19</v>
      </c>
      <c r="J24" s="10">
        <f t="shared" si="4"/>
        <v>524288</v>
      </c>
      <c r="K24" s="15">
        <f>Table2[[#This Row],[Address Space Required]]/Table2[[#This Row],[Available Address Space]]</f>
        <v>0.91552734375</v>
      </c>
      <c r="L24" t="s">
        <v>49</v>
      </c>
    </row>
    <row r="25" spans="1:12" hidden="1" x14ac:dyDescent="0.25">
      <c r="A25" s="1">
        <v>1920</v>
      </c>
      <c r="B25" s="1">
        <v>1080</v>
      </c>
      <c r="C25" s="1">
        <v>4</v>
      </c>
      <c r="D25" s="8">
        <f t="shared" si="0"/>
        <v>16</v>
      </c>
      <c r="E25" s="12">
        <f t="shared" si="1"/>
        <v>2073600</v>
      </c>
      <c r="F25" s="12">
        <f t="shared" si="2"/>
        <v>8294400</v>
      </c>
      <c r="G25" s="12">
        <f>Table2[[#This Row],[Required Bits]]/8</f>
        <v>1036800</v>
      </c>
      <c r="H25" s="12">
        <f t="shared" si="3"/>
        <v>518400</v>
      </c>
      <c r="I25" s="12">
        <f>_xlfn.CEILING.MATH(LOG(Table2[[#This Row],[Address Space Required]],2))</f>
        <v>19</v>
      </c>
      <c r="J25" s="10">
        <f t="shared" si="4"/>
        <v>524288</v>
      </c>
      <c r="K25" s="15">
        <f>Table2[[#This Row],[Address Space Required]]/Table2[[#This Row],[Available Address Space]]</f>
        <v>0.98876953125</v>
      </c>
    </row>
    <row r="26" spans="1:12" hidden="1" x14ac:dyDescent="0.25">
      <c r="A26" s="22">
        <v>3960</v>
      </c>
      <c r="B26" s="22">
        <v>2160</v>
      </c>
      <c r="C26" s="1">
        <v>1</v>
      </c>
      <c r="D26" s="9">
        <f t="shared" si="0"/>
        <v>16</v>
      </c>
      <c r="E26" s="10">
        <f t="shared" si="1"/>
        <v>8553600</v>
      </c>
      <c r="F26" s="10">
        <f t="shared" si="2"/>
        <v>8553600</v>
      </c>
      <c r="G26" s="10">
        <f>Table2[[#This Row],[Required Bits]]/8</f>
        <v>1069200</v>
      </c>
      <c r="H26" s="10">
        <f t="shared" si="3"/>
        <v>534600</v>
      </c>
      <c r="I26" s="10">
        <f>_xlfn.CEILING.MATH(LOG(Table2[[#This Row],[Address Space Required]],2))</f>
        <v>20</v>
      </c>
      <c r="J26" s="10">
        <f t="shared" si="4"/>
        <v>524288</v>
      </c>
      <c r="K26" s="15">
        <f>Table2[[#This Row],[Address Space Required]]/Table2[[#This Row],[Available Address Space]]</f>
        <v>1.0196685791015625</v>
      </c>
    </row>
    <row r="27" spans="1:12" hidden="1" x14ac:dyDescent="0.25">
      <c r="A27" s="1">
        <v>1920</v>
      </c>
      <c r="B27" s="1">
        <v>1200</v>
      </c>
      <c r="C27" s="1">
        <v>4</v>
      </c>
      <c r="D27" s="2">
        <f t="shared" si="0"/>
        <v>16</v>
      </c>
      <c r="E27" s="10">
        <f t="shared" si="1"/>
        <v>2304000</v>
      </c>
      <c r="F27" s="10">
        <f t="shared" si="2"/>
        <v>9216000</v>
      </c>
      <c r="G27" s="10">
        <f>Table2[[#This Row],[Required Bits]]/8</f>
        <v>1152000</v>
      </c>
      <c r="H27" s="10">
        <f t="shared" si="3"/>
        <v>576000</v>
      </c>
      <c r="I27" s="10">
        <f>_xlfn.CEILING.MATH(LOG(Table2[[#This Row],[Address Space Required]],2))</f>
        <v>20</v>
      </c>
      <c r="J27" s="10">
        <f t="shared" si="4"/>
        <v>524288</v>
      </c>
      <c r="K27" s="15">
        <f>Table2[[#This Row],[Address Space Required]]/Table2[[#This Row],[Available Address Space]]</f>
        <v>1.0986328125</v>
      </c>
    </row>
    <row r="28" spans="1:12" hidden="1" x14ac:dyDescent="0.25">
      <c r="A28" s="22">
        <f>640*2</f>
        <v>1280</v>
      </c>
      <c r="B28" s="22">
        <f>480*2</f>
        <v>960</v>
      </c>
      <c r="C28" s="22">
        <v>8</v>
      </c>
      <c r="D28" s="2">
        <f t="shared" si="0"/>
        <v>16</v>
      </c>
      <c r="E28" s="10">
        <f t="shared" si="1"/>
        <v>1228800</v>
      </c>
      <c r="F28" s="10">
        <f t="shared" si="2"/>
        <v>9830400</v>
      </c>
      <c r="G28" s="10">
        <f>Table2[[#This Row],[Required Bits]]/8</f>
        <v>1228800</v>
      </c>
      <c r="H28" s="10">
        <f t="shared" si="3"/>
        <v>614400</v>
      </c>
      <c r="I28" s="10">
        <f>_xlfn.CEILING.MATH(LOG(Table2[[#This Row],[Address Space Required]],2))</f>
        <v>20</v>
      </c>
      <c r="J28" s="10">
        <f t="shared" si="4"/>
        <v>524288</v>
      </c>
      <c r="K28" s="15">
        <f>Table2[[#This Row],[Address Space Required]]/Table2[[#This Row],[Available Address Space]]</f>
        <v>1.171875</v>
      </c>
    </row>
    <row r="29" spans="1:12" x14ac:dyDescent="0.25">
      <c r="A29" s="1">
        <v>1024</v>
      </c>
      <c r="B29" s="1">
        <v>768</v>
      </c>
      <c r="C29" s="1">
        <v>16</v>
      </c>
      <c r="D29" s="2">
        <f t="shared" si="0"/>
        <v>16</v>
      </c>
      <c r="E29" s="6">
        <f t="shared" si="1"/>
        <v>786432</v>
      </c>
      <c r="F29" s="6">
        <f t="shared" si="2"/>
        <v>12582912</v>
      </c>
      <c r="G29" s="6">
        <f>Table2[[#This Row],[Required Bits]]/8</f>
        <v>1572864</v>
      </c>
      <c r="H29" s="6">
        <f t="shared" si="3"/>
        <v>786432</v>
      </c>
      <c r="I29" s="6">
        <f>_xlfn.CEILING.MATH(LOG(Table2[[#This Row],[Address Space Required]],2))</f>
        <v>20</v>
      </c>
      <c r="J29" s="10">
        <f t="shared" si="4"/>
        <v>524288</v>
      </c>
      <c r="K29" s="15">
        <f>Table2[[#This Row],[Address Space Required]]/Table2[[#This Row],[Available Address Space]]</f>
        <v>1.5</v>
      </c>
    </row>
    <row r="30" spans="1:12" hidden="1" x14ac:dyDescent="0.25">
      <c r="A30" s="1">
        <v>1920</v>
      </c>
      <c r="B30" s="1">
        <v>1080</v>
      </c>
      <c r="C30" s="1">
        <v>8</v>
      </c>
      <c r="D30" s="2">
        <f t="shared" si="0"/>
        <v>16</v>
      </c>
      <c r="E30" s="10">
        <f t="shared" si="1"/>
        <v>2073600</v>
      </c>
      <c r="F30" s="10">
        <f t="shared" si="2"/>
        <v>16588800</v>
      </c>
      <c r="G30" s="10">
        <f>Table2[[#This Row],[Required Bits]]/8</f>
        <v>2073600</v>
      </c>
      <c r="H30" s="10">
        <f t="shared" si="3"/>
        <v>1036800</v>
      </c>
      <c r="I30" s="12">
        <f>_xlfn.CEILING.MATH(LOG(Table2[[#This Row],[Address Space Required]],2))</f>
        <v>20</v>
      </c>
      <c r="J30" s="12">
        <f t="shared" si="4"/>
        <v>524288</v>
      </c>
      <c r="K30" s="16">
        <f>Table2[[#This Row],[Address Space Required]]/Table2[[#This Row],[Available Address Space]]</f>
        <v>1.9775390625</v>
      </c>
    </row>
    <row r="31" spans="1:12" hidden="1" x14ac:dyDescent="0.25">
      <c r="A31" s="22">
        <v>3960</v>
      </c>
      <c r="B31" s="22">
        <v>2160</v>
      </c>
      <c r="C31" s="1">
        <v>2</v>
      </c>
      <c r="D31" s="2">
        <f t="shared" si="0"/>
        <v>16</v>
      </c>
      <c r="E31" s="10">
        <f t="shared" si="1"/>
        <v>8553600</v>
      </c>
      <c r="F31" s="10">
        <f t="shared" si="2"/>
        <v>17107200</v>
      </c>
      <c r="G31" s="10">
        <f>Table2[[#This Row],[Required Bits]]/8</f>
        <v>2138400</v>
      </c>
      <c r="H31" s="10">
        <f t="shared" si="3"/>
        <v>1069200</v>
      </c>
      <c r="I31" s="10">
        <f>_xlfn.CEILING.MATH(LOG(Table2[[#This Row],[Address Space Required]],2))</f>
        <v>21</v>
      </c>
      <c r="J31" s="10">
        <f t="shared" si="4"/>
        <v>524288</v>
      </c>
      <c r="K31" s="15">
        <f>Table2[[#This Row],[Address Space Required]]/Table2[[#This Row],[Available Address Space]]</f>
        <v>2.039337158203125</v>
      </c>
    </row>
    <row r="32" spans="1:12" hidden="1" x14ac:dyDescent="0.25">
      <c r="A32" s="1">
        <v>1920</v>
      </c>
      <c r="B32" s="1">
        <v>1200</v>
      </c>
      <c r="C32" s="1">
        <v>8</v>
      </c>
      <c r="D32" s="2">
        <f t="shared" si="0"/>
        <v>16</v>
      </c>
      <c r="E32" s="10">
        <f t="shared" si="1"/>
        <v>2304000</v>
      </c>
      <c r="F32" s="10">
        <f t="shared" si="2"/>
        <v>18432000</v>
      </c>
      <c r="G32" s="10">
        <f>Table2[[#This Row],[Required Bits]]/8</f>
        <v>2304000</v>
      </c>
      <c r="H32" s="10">
        <f t="shared" si="3"/>
        <v>1152000</v>
      </c>
      <c r="I32" s="10">
        <f>_xlfn.CEILING.MATH(LOG(Table2[[#This Row],[Address Space Required]],2))</f>
        <v>21</v>
      </c>
      <c r="J32" s="10">
        <f t="shared" si="4"/>
        <v>524288</v>
      </c>
      <c r="K32" s="15">
        <f>Table2[[#This Row],[Address Space Required]]/Table2[[#This Row],[Available Address Space]]</f>
        <v>2.197265625</v>
      </c>
    </row>
    <row r="33" spans="1:11" x14ac:dyDescent="0.25">
      <c r="A33" s="1">
        <v>1024</v>
      </c>
      <c r="B33" s="1">
        <v>768</v>
      </c>
      <c r="C33" s="1">
        <v>24</v>
      </c>
      <c r="D33" s="2">
        <f t="shared" si="0"/>
        <v>16</v>
      </c>
      <c r="E33" s="6">
        <f t="shared" si="1"/>
        <v>786432</v>
      </c>
      <c r="F33" s="6">
        <f t="shared" si="2"/>
        <v>18874368</v>
      </c>
      <c r="G33" s="6">
        <f>Table2[[#This Row],[Required Bits]]/8</f>
        <v>2359296</v>
      </c>
      <c r="H33" s="6">
        <f t="shared" si="3"/>
        <v>1179648</v>
      </c>
      <c r="I33" s="6">
        <f>_xlfn.CEILING.MATH(LOG(Table2[[#This Row],[Address Space Required]],2))</f>
        <v>21</v>
      </c>
      <c r="J33" s="10">
        <f t="shared" si="4"/>
        <v>524288</v>
      </c>
      <c r="K33" s="15">
        <f>Table2[[#This Row],[Address Space Required]]/Table2[[#This Row],[Available Address Space]]</f>
        <v>2.25</v>
      </c>
    </row>
    <row r="34" spans="1:11" hidden="1" x14ac:dyDescent="0.25">
      <c r="A34" s="1">
        <v>1024</v>
      </c>
      <c r="B34" s="1">
        <v>768</v>
      </c>
      <c r="C34" s="1">
        <v>32</v>
      </c>
      <c r="D34" s="2">
        <f t="shared" ref="D34:D52" si="5">BitWidth</f>
        <v>16</v>
      </c>
      <c r="E34" s="6">
        <f t="shared" ref="E34:E52" si="6">A34*B34</f>
        <v>786432</v>
      </c>
      <c r="F34" s="6">
        <f t="shared" ref="F34:F65" si="7">C34*E34</f>
        <v>25165824</v>
      </c>
      <c r="G34" s="6">
        <f>Table2[[#This Row],[Required Bits]]/8</f>
        <v>3145728</v>
      </c>
      <c r="H34" s="6">
        <f t="shared" ref="H34:H52" si="8">F34/D34</f>
        <v>1572864</v>
      </c>
      <c r="I34" s="6">
        <f>_xlfn.CEILING.MATH(LOG(Table2[[#This Row],[Address Space Required]],2))</f>
        <v>21</v>
      </c>
      <c r="J34" s="10">
        <f t="shared" ref="J34:J52" si="9">AddressSpace</f>
        <v>524288</v>
      </c>
      <c r="K34" s="15">
        <f>Table2[[#This Row],[Address Space Required]]/Table2[[#This Row],[Available Address Space]]</f>
        <v>3</v>
      </c>
    </row>
    <row r="35" spans="1:11" x14ac:dyDescent="0.25">
      <c r="A35" s="1">
        <v>1920</v>
      </c>
      <c r="B35" s="1">
        <v>1080</v>
      </c>
      <c r="C35" s="1">
        <v>16</v>
      </c>
      <c r="D35" s="2">
        <f t="shared" si="5"/>
        <v>16</v>
      </c>
      <c r="E35" s="10">
        <f t="shared" si="6"/>
        <v>2073600</v>
      </c>
      <c r="F35" s="10">
        <f t="shared" si="7"/>
        <v>33177600</v>
      </c>
      <c r="G35" s="10">
        <f>Table2[[#This Row],[Required Bits]]/8</f>
        <v>4147200</v>
      </c>
      <c r="H35" s="10">
        <f t="shared" si="8"/>
        <v>2073600</v>
      </c>
      <c r="I35" s="10">
        <f>_xlfn.CEILING.MATH(LOG(Table2[[#This Row],[Address Space Required]],2))</f>
        <v>21</v>
      </c>
      <c r="J35" s="10">
        <f t="shared" si="9"/>
        <v>524288</v>
      </c>
      <c r="K35" s="15">
        <f>Table2[[#This Row],[Address Space Required]]/Table2[[#This Row],[Available Address Space]]</f>
        <v>3.955078125</v>
      </c>
    </row>
    <row r="36" spans="1:11" hidden="1" x14ac:dyDescent="0.25">
      <c r="A36" s="22">
        <v>3960</v>
      </c>
      <c r="B36" s="22">
        <v>2160</v>
      </c>
      <c r="C36" s="1">
        <v>4</v>
      </c>
      <c r="D36" s="2">
        <f t="shared" si="5"/>
        <v>16</v>
      </c>
      <c r="E36" s="10">
        <f t="shared" si="6"/>
        <v>8553600</v>
      </c>
      <c r="F36" s="10">
        <f t="shared" si="7"/>
        <v>34214400</v>
      </c>
      <c r="G36" s="10">
        <f>Table2[[#This Row],[Required Bits]]/8</f>
        <v>4276800</v>
      </c>
      <c r="H36" s="10">
        <f t="shared" si="8"/>
        <v>2138400</v>
      </c>
      <c r="I36" s="10">
        <f>_xlfn.CEILING.MATH(LOG(Table2[[#This Row],[Address Space Required]],2))</f>
        <v>22</v>
      </c>
      <c r="J36" s="10">
        <f t="shared" si="9"/>
        <v>524288</v>
      </c>
      <c r="K36" s="15">
        <f>Table2[[#This Row],[Address Space Required]]/Table2[[#This Row],[Available Address Space]]</f>
        <v>4.07867431640625</v>
      </c>
    </row>
    <row r="37" spans="1:11" hidden="1" x14ac:dyDescent="0.25">
      <c r="A37" s="7">
        <v>7360</v>
      </c>
      <c r="B37" s="22">
        <v>4912</v>
      </c>
      <c r="C37" s="7">
        <v>1</v>
      </c>
      <c r="D37" s="8">
        <f t="shared" si="5"/>
        <v>16</v>
      </c>
      <c r="E37" s="12">
        <f t="shared" si="6"/>
        <v>36152320</v>
      </c>
      <c r="F37" s="12">
        <f t="shared" si="7"/>
        <v>36152320</v>
      </c>
      <c r="G37" s="12">
        <f>Table2[[#This Row],[Required Bits]]/8</f>
        <v>4519040</v>
      </c>
      <c r="H37" s="12">
        <f t="shared" si="8"/>
        <v>2259520</v>
      </c>
      <c r="I37" s="12">
        <f>_xlfn.CEILING.MATH(LOG(Table2[[#This Row],[Address Space Required]],2))</f>
        <v>22</v>
      </c>
      <c r="J37" s="12">
        <f t="shared" si="9"/>
        <v>524288</v>
      </c>
      <c r="K37" s="16">
        <f>Table2[[#This Row],[Address Space Required]]/Table2[[#This Row],[Available Address Space]]</f>
        <v>4.3096923828125</v>
      </c>
    </row>
    <row r="38" spans="1:11" x14ac:dyDescent="0.25">
      <c r="A38" s="7">
        <v>1920</v>
      </c>
      <c r="B38" s="7">
        <v>1200</v>
      </c>
      <c r="C38" s="1">
        <v>16</v>
      </c>
      <c r="D38" s="8">
        <f t="shared" si="5"/>
        <v>16</v>
      </c>
      <c r="E38" s="12">
        <f t="shared" si="6"/>
        <v>2304000</v>
      </c>
      <c r="F38" s="12">
        <f t="shared" si="7"/>
        <v>36864000</v>
      </c>
      <c r="G38" s="12">
        <f>Table2[[#This Row],[Required Bits]]/8</f>
        <v>4608000</v>
      </c>
      <c r="H38" s="12">
        <f t="shared" si="8"/>
        <v>2304000</v>
      </c>
      <c r="I38" s="12">
        <f>_xlfn.CEILING.MATH(LOG(Table2[[#This Row],[Address Space Required]],2))</f>
        <v>22</v>
      </c>
      <c r="J38" s="12">
        <f t="shared" si="9"/>
        <v>524288</v>
      </c>
      <c r="K38" s="16">
        <f>Table2[[#This Row],[Address Space Required]]/Table2[[#This Row],[Available Address Space]]</f>
        <v>4.39453125</v>
      </c>
    </row>
    <row r="39" spans="1:11" x14ac:dyDescent="0.25">
      <c r="A39" s="7">
        <v>1920</v>
      </c>
      <c r="B39" s="7">
        <v>1080</v>
      </c>
      <c r="C39" s="1">
        <v>24</v>
      </c>
      <c r="D39" s="2">
        <f t="shared" si="5"/>
        <v>16</v>
      </c>
      <c r="E39" s="10">
        <f t="shared" si="6"/>
        <v>2073600</v>
      </c>
      <c r="F39" s="10">
        <f t="shared" si="7"/>
        <v>49766400</v>
      </c>
      <c r="G39" s="10">
        <f>Table2[[#This Row],[Required Bits]]/8</f>
        <v>6220800</v>
      </c>
      <c r="H39" s="10">
        <f t="shared" si="8"/>
        <v>3110400</v>
      </c>
      <c r="I39" s="10">
        <f>_xlfn.CEILING.MATH(LOG(Table2[[#This Row],[Address Space Required]],2))</f>
        <v>22</v>
      </c>
      <c r="J39" s="10">
        <f t="shared" si="9"/>
        <v>524288</v>
      </c>
      <c r="K39" s="15">
        <f>Table2[[#This Row],[Address Space Required]]/Table2[[#This Row],[Available Address Space]]</f>
        <v>5.9326171875</v>
      </c>
    </row>
    <row r="40" spans="1:11" x14ac:dyDescent="0.25">
      <c r="A40" s="7">
        <v>1920</v>
      </c>
      <c r="B40" s="7">
        <v>1200</v>
      </c>
      <c r="C40" s="22">
        <v>24</v>
      </c>
      <c r="D40" s="9">
        <f t="shared" si="5"/>
        <v>16</v>
      </c>
      <c r="E40" s="10">
        <f t="shared" si="6"/>
        <v>2304000</v>
      </c>
      <c r="F40" s="10">
        <f t="shared" si="7"/>
        <v>55296000</v>
      </c>
      <c r="G40" s="10">
        <f>Table2[[#This Row],[Required Bits]]/8</f>
        <v>6912000</v>
      </c>
      <c r="H40" s="10">
        <f t="shared" si="8"/>
        <v>3456000</v>
      </c>
      <c r="I40" s="10">
        <f>_xlfn.CEILING.MATH(LOG(Table2[[#This Row],[Address Space Required]],2))</f>
        <v>22</v>
      </c>
      <c r="J40" s="10">
        <f t="shared" si="9"/>
        <v>524288</v>
      </c>
      <c r="K40" s="15">
        <f>Table2[[#This Row],[Address Space Required]]/Table2[[#This Row],[Available Address Space]]</f>
        <v>6.591796875</v>
      </c>
    </row>
    <row r="41" spans="1:11" hidden="1" x14ac:dyDescent="0.25">
      <c r="A41" s="7">
        <v>1920</v>
      </c>
      <c r="B41" s="7">
        <v>1080</v>
      </c>
      <c r="C41" s="1">
        <v>32</v>
      </c>
      <c r="D41" s="2">
        <f t="shared" si="5"/>
        <v>16</v>
      </c>
      <c r="E41" s="10">
        <f t="shared" si="6"/>
        <v>2073600</v>
      </c>
      <c r="F41" s="10">
        <f t="shared" si="7"/>
        <v>66355200</v>
      </c>
      <c r="G41" s="10">
        <f>Table2[[#This Row],[Required Bits]]/8</f>
        <v>8294400</v>
      </c>
      <c r="H41" s="10">
        <f t="shared" si="8"/>
        <v>4147200</v>
      </c>
      <c r="I41" s="10">
        <f>_xlfn.CEILING.MATH(LOG(Table2[[#This Row],[Address Space Required]],2))</f>
        <v>22</v>
      </c>
      <c r="J41" s="10">
        <f t="shared" si="9"/>
        <v>524288</v>
      </c>
      <c r="K41" s="15">
        <f>Table2[[#This Row],[Address Space Required]]/Table2[[#This Row],[Available Address Space]]</f>
        <v>7.91015625</v>
      </c>
    </row>
    <row r="42" spans="1:11" hidden="1" x14ac:dyDescent="0.25">
      <c r="A42" s="7">
        <v>3960</v>
      </c>
      <c r="B42" s="7">
        <v>2160</v>
      </c>
      <c r="C42" s="1">
        <v>8</v>
      </c>
      <c r="D42" s="2">
        <f t="shared" si="5"/>
        <v>16</v>
      </c>
      <c r="E42" s="10">
        <f t="shared" si="6"/>
        <v>8553600</v>
      </c>
      <c r="F42" s="10">
        <f t="shared" si="7"/>
        <v>68428800</v>
      </c>
      <c r="G42" s="10">
        <f>Table2[[#This Row],[Required Bits]]/8</f>
        <v>8553600</v>
      </c>
      <c r="H42" s="10">
        <f t="shared" si="8"/>
        <v>4276800</v>
      </c>
      <c r="I42" s="10">
        <f>_xlfn.CEILING.MATH(LOG(Table2[[#This Row],[Address Space Required]],2))</f>
        <v>23</v>
      </c>
      <c r="J42" s="10">
        <f t="shared" si="9"/>
        <v>524288</v>
      </c>
      <c r="K42" s="15">
        <f>Table2[[#This Row],[Address Space Required]]/Table2[[#This Row],[Available Address Space]]</f>
        <v>8.1573486328125</v>
      </c>
    </row>
    <row r="43" spans="1:11" hidden="1" x14ac:dyDescent="0.25">
      <c r="A43" s="7">
        <v>7360</v>
      </c>
      <c r="B43" s="7">
        <v>4912</v>
      </c>
      <c r="C43" s="1">
        <v>2</v>
      </c>
      <c r="D43" s="2">
        <f t="shared" si="5"/>
        <v>16</v>
      </c>
      <c r="E43" s="10">
        <f t="shared" si="6"/>
        <v>36152320</v>
      </c>
      <c r="F43" s="10">
        <f t="shared" si="7"/>
        <v>72304640</v>
      </c>
      <c r="G43" s="10">
        <f>Table2[[#This Row],[Required Bits]]/8</f>
        <v>9038080</v>
      </c>
      <c r="H43" s="10">
        <f t="shared" si="8"/>
        <v>4519040</v>
      </c>
      <c r="I43" s="10">
        <f>_xlfn.CEILING.MATH(LOG(Table2[[#This Row],[Address Space Required]],2))</f>
        <v>23</v>
      </c>
      <c r="J43" s="10">
        <f t="shared" si="9"/>
        <v>524288</v>
      </c>
      <c r="K43" s="15">
        <f>Table2[[#This Row],[Address Space Required]]/Table2[[#This Row],[Available Address Space]]</f>
        <v>8.619384765625</v>
      </c>
    </row>
    <row r="44" spans="1:11" hidden="1" x14ac:dyDescent="0.25">
      <c r="A44" s="7">
        <v>1920</v>
      </c>
      <c r="B44" s="7">
        <v>1200</v>
      </c>
      <c r="C44" s="7">
        <v>32</v>
      </c>
      <c r="D44" s="9">
        <f t="shared" si="5"/>
        <v>16</v>
      </c>
      <c r="E44" s="10">
        <f t="shared" si="6"/>
        <v>2304000</v>
      </c>
      <c r="F44" s="10">
        <f t="shared" si="7"/>
        <v>73728000</v>
      </c>
      <c r="G44" s="10">
        <f>Table2[[#This Row],[Required Bits]]/8</f>
        <v>9216000</v>
      </c>
      <c r="H44" s="10">
        <f t="shared" si="8"/>
        <v>4608000</v>
      </c>
      <c r="I44" s="10">
        <f>_xlfn.CEILING.MATH(LOG(Table2[[#This Row],[Address Space Required]],2))</f>
        <v>23</v>
      </c>
      <c r="J44" s="10">
        <f t="shared" si="9"/>
        <v>524288</v>
      </c>
      <c r="K44" s="15">
        <f>Table2[[#This Row],[Address Space Required]]/Table2[[#This Row],[Available Address Space]]</f>
        <v>8.7890625</v>
      </c>
    </row>
    <row r="45" spans="1:11" hidden="1" x14ac:dyDescent="0.25">
      <c r="A45" s="7">
        <v>3960</v>
      </c>
      <c r="B45" s="7">
        <v>2160</v>
      </c>
      <c r="C45" s="1">
        <v>16</v>
      </c>
      <c r="D45" s="8">
        <f t="shared" si="5"/>
        <v>16</v>
      </c>
      <c r="E45" s="12">
        <f t="shared" si="6"/>
        <v>8553600</v>
      </c>
      <c r="F45" s="12">
        <f t="shared" si="7"/>
        <v>136857600</v>
      </c>
      <c r="G45" s="12">
        <f>Table2[[#This Row],[Required Bits]]/8</f>
        <v>17107200</v>
      </c>
      <c r="H45" s="12">
        <f t="shared" si="8"/>
        <v>8553600</v>
      </c>
      <c r="I45" s="12">
        <f>_xlfn.CEILING.MATH(LOG(Table2[[#This Row],[Address Space Required]],2))</f>
        <v>24</v>
      </c>
      <c r="J45" s="12">
        <f t="shared" si="9"/>
        <v>524288</v>
      </c>
      <c r="K45" s="16">
        <f>Table2[[#This Row],[Address Space Required]]/Table2[[#This Row],[Available Address Space]]</f>
        <v>16.314697265625</v>
      </c>
    </row>
    <row r="46" spans="1:11" hidden="1" x14ac:dyDescent="0.25">
      <c r="A46" s="7">
        <v>7360</v>
      </c>
      <c r="B46" s="7">
        <v>4912</v>
      </c>
      <c r="C46" s="1">
        <v>4</v>
      </c>
      <c r="D46" s="2">
        <f t="shared" si="5"/>
        <v>16</v>
      </c>
      <c r="E46" s="10">
        <f t="shared" si="6"/>
        <v>36152320</v>
      </c>
      <c r="F46" s="10">
        <f t="shared" si="7"/>
        <v>144609280</v>
      </c>
      <c r="G46" s="10">
        <f>Table2[[#This Row],[Required Bits]]/8</f>
        <v>18076160</v>
      </c>
      <c r="H46" s="10">
        <f t="shared" si="8"/>
        <v>9038080</v>
      </c>
      <c r="I46" s="10">
        <f>_xlfn.CEILING.MATH(LOG(Table2[[#This Row],[Address Space Required]],2))</f>
        <v>24</v>
      </c>
      <c r="J46" s="10">
        <f t="shared" si="9"/>
        <v>524288</v>
      </c>
      <c r="K46" s="15">
        <f>Table2[[#This Row],[Address Space Required]]/Table2[[#This Row],[Available Address Space]]</f>
        <v>17.23876953125</v>
      </c>
    </row>
    <row r="47" spans="1:11" hidden="1" x14ac:dyDescent="0.25">
      <c r="A47" s="7">
        <v>3960</v>
      </c>
      <c r="B47" s="7">
        <v>2160</v>
      </c>
      <c r="C47" s="22">
        <v>24</v>
      </c>
      <c r="D47" s="2">
        <f t="shared" si="5"/>
        <v>16</v>
      </c>
      <c r="E47" s="10">
        <f t="shared" si="6"/>
        <v>8553600</v>
      </c>
      <c r="F47" s="10">
        <f t="shared" si="7"/>
        <v>205286400</v>
      </c>
      <c r="G47" s="10">
        <f>Table2[[#This Row],[Required Bits]]/8</f>
        <v>25660800</v>
      </c>
      <c r="H47" s="10">
        <f t="shared" si="8"/>
        <v>12830400</v>
      </c>
      <c r="I47" s="10">
        <f>_xlfn.CEILING.MATH(LOG(Table2[[#This Row],[Address Space Required]],2))</f>
        <v>24</v>
      </c>
      <c r="J47" s="10">
        <f t="shared" si="9"/>
        <v>524288</v>
      </c>
      <c r="K47" s="15">
        <f>Table2[[#This Row],[Address Space Required]]/Table2[[#This Row],[Available Address Space]]</f>
        <v>24.4720458984375</v>
      </c>
    </row>
    <row r="48" spans="1:11" hidden="1" x14ac:dyDescent="0.25">
      <c r="A48" s="7">
        <v>3960</v>
      </c>
      <c r="B48" s="7">
        <v>2160</v>
      </c>
      <c r="C48" s="22">
        <v>32</v>
      </c>
      <c r="D48" s="9">
        <f t="shared" si="5"/>
        <v>16</v>
      </c>
      <c r="E48" s="10">
        <f t="shared" si="6"/>
        <v>8553600</v>
      </c>
      <c r="F48" s="10">
        <f t="shared" si="7"/>
        <v>273715200</v>
      </c>
      <c r="G48" s="10">
        <f>Table2[[#This Row],[Required Bits]]/8</f>
        <v>34214400</v>
      </c>
      <c r="H48" s="10">
        <f t="shared" si="8"/>
        <v>17107200</v>
      </c>
      <c r="I48" s="10">
        <f>_xlfn.CEILING.MATH(LOG(Table2[[#This Row],[Address Space Required]],2))</f>
        <v>25</v>
      </c>
      <c r="J48" s="10">
        <f t="shared" si="9"/>
        <v>524288</v>
      </c>
      <c r="K48" s="15">
        <f>Table2[[#This Row],[Address Space Required]]/Table2[[#This Row],[Available Address Space]]</f>
        <v>32.62939453125</v>
      </c>
    </row>
    <row r="49" spans="1:11" hidden="1" x14ac:dyDescent="0.25">
      <c r="A49" s="7">
        <v>7360</v>
      </c>
      <c r="B49" s="7">
        <v>4912</v>
      </c>
      <c r="C49" s="1">
        <v>8</v>
      </c>
      <c r="D49" s="2">
        <f t="shared" si="5"/>
        <v>16</v>
      </c>
      <c r="E49" s="10">
        <f t="shared" si="6"/>
        <v>36152320</v>
      </c>
      <c r="F49" s="10">
        <f t="shared" si="7"/>
        <v>289218560</v>
      </c>
      <c r="G49" s="10">
        <f>Table2[[#This Row],[Required Bits]]/8</f>
        <v>36152320</v>
      </c>
      <c r="H49" s="10">
        <f t="shared" si="8"/>
        <v>18076160</v>
      </c>
      <c r="I49" s="10">
        <f>_xlfn.CEILING.MATH(LOG(Table2[[#This Row],[Address Space Required]],2))</f>
        <v>25</v>
      </c>
      <c r="J49" s="10">
        <f t="shared" si="9"/>
        <v>524288</v>
      </c>
      <c r="K49" s="15">
        <f>Table2[[#This Row],[Address Space Required]]/Table2[[#This Row],[Available Address Space]]</f>
        <v>34.4775390625</v>
      </c>
    </row>
    <row r="50" spans="1:11" hidden="1" x14ac:dyDescent="0.25">
      <c r="A50" s="7">
        <v>7360</v>
      </c>
      <c r="B50" s="7">
        <v>4912</v>
      </c>
      <c r="C50" s="1">
        <v>16</v>
      </c>
      <c r="D50" s="2">
        <f t="shared" si="5"/>
        <v>16</v>
      </c>
      <c r="E50" s="10">
        <f t="shared" si="6"/>
        <v>36152320</v>
      </c>
      <c r="F50" s="10">
        <f t="shared" si="7"/>
        <v>578437120</v>
      </c>
      <c r="G50" s="10">
        <f>Table2[[#This Row],[Required Bits]]/8</f>
        <v>72304640</v>
      </c>
      <c r="H50" s="10">
        <f t="shared" si="8"/>
        <v>36152320</v>
      </c>
      <c r="I50" s="10">
        <f>_xlfn.CEILING.MATH(LOG(Table2[[#This Row],[Address Space Required]],2))</f>
        <v>26</v>
      </c>
      <c r="J50" s="10">
        <f t="shared" si="9"/>
        <v>524288</v>
      </c>
      <c r="K50" s="15">
        <f>Table2[[#This Row],[Address Space Required]]/Table2[[#This Row],[Available Address Space]]</f>
        <v>68.955078125</v>
      </c>
    </row>
    <row r="51" spans="1:11" hidden="1" x14ac:dyDescent="0.25">
      <c r="A51" s="7">
        <v>7360</v>
      </c>
      <c r="B51" s="7">
        <v>4912</v>
      </c>
      <c r="C51" s="7">
        <v>24</v>
      </c>
      <c r="D51" s="2">
        <f t="shared" si="5"/>
        <v>16</v>
      </c>
      <c r="E51" s="10">
        <f t="shared" si="6"/>
        <v>36152320</v>
      </c>
      <c r="F51" s="10">
        <f t="shared" si="7"/>
        <v>867655680</v>
      </c>
      <c r="G51" s="10">
        <f>Table2[[#This Row],[Required Bits]]/8</f>
        <v>108456960</v>
      </c>
      <c r="H51" s="10">
        <f t="shared" si="8"/>
        <v>54228480</v>
      </c>
      <c r="I51" s="10">
        <f>_xlfn.CEILING.MATH(LOG(Table2[[#This Row],[Address Space Required]],2))</f>
        <v>26</v>
      </c>
      <c r="J51" s="10">
        <f t="shared" si="9"/>
        <v>524288</v>
      </c>
      <c r="K51" s="15">
        <f>Table2[[#This Row],[Address Space Required]]/Table2[[#This Row],[Available Address Space]]</f>
        <v>103.4326171875</v>
      </c>
    </row>
    <row r="52" spans="1:11" hidden="1" x14ac:dyDescent="0.25">
      <c r="A52" s="7">
        <v>7360</v>
      </c>
      <c r="B52" s="7">
        <v>4912</v>
      </c>
      <c r="C52" s="7">
        <v>32</v>
      </c>
      <c r="D52" s="2">
        <f t="shared" si="5"/>
        <v>16</v>
      </c>
      <c r="E52" s="10">
        <f t="shared" si="6"/>
        <v>36152320</v>
      </c>
      <c r="F52" s="10">
        <f t="shared" si="7"/>
        <v>1156874240</v>
      </c>
      <c r="G52" s="10">
        <f>Table2[[#This Row],[Required Bits]]/8</f>
        <v>144609280</v>
      </c>
      <c r="H52" s="10">
        <f t="shared" si="8"/>
        <v>72304640</v>
      </c>
      <c r="I52" s="10">
        <f>_xlfn.CEILING.MATH(LOG(Table2[[#This Row],[Address Space Required]],2))</f>
        <v>27</v>
      </c>
      <c r="J52" s="10">
        <f t="shared" si="9"/>
        <v>524288</v>
      </c>
      <c r="K52" s="15">
        <f>Table2[[#This Row],[Address Space Required]]/Table2[[#This Row],[Available Address Space]]</f>
        <v>137.91015625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8AEF-97EC-4E97-AB75-AFEEE15EBAF6}">
  <dimension ref="A1:C13"/>
  <sheetViews>
    <sheetView tabSelected="1" workbookViewId="0">
      <selection activeCell="B13" sqref="B2:C13"/>
    </sheetView>
  </sheetViews>
  <sheetFormatPr defaultRowHeight="15" x14ac:dyDescent="0.25"/>
  <cols>
    <col min="1" max="1" width="13.42578125" bestFit="1" customWidth="1"/>
    <col min="2" max="2" width="19.140625" bestFit="1" customWidth="1"/>
    <col min="3" max="3" width="12.5703125" customWidth="1"/>
  </cols>
  <sheetData>
    <row r="1" spans="1:3" x14ac:dyDescent="0.25">
      <c r="A1" t="s">
        <v>131</v>
      </c>
      <c r="B1" t="s">
        <v>136</v>
      </c>
      <c r="C1" t="s">
        <v>135</v>
      </c>
    </row>
    <row r="2" spans="1:3" ht="14.25" customHeight="1" x14ac:dyDescent="0.25">
      <c r="A2" t="s">
        <v>130</v>
      </c>
      <c r="B2" s="18" t="s">
        <v>134</v>
      </c>
      <c r="C2" t="s">
        <v>137</v>
      </c>
    </row>
    <row r="3" spans="1:3" x14ac:dyDescent="0.25">
      <c r="B3" s="18" t="s">
        <v>133</v>
      </c>
      <c r="C3" t="s">
        <v>138</v>
      </c>
    </row>
    <row r="4" spans="1:3" x14ac:dyDescent="0.25">
      <c r="B4" s="18" t="s">
        <v>144</v>
      </c>
      <c r="C4" t="s">
        <v>139</v>
      </c>
    </row>
    <row r="5" spans="1:3" x14ac:dyDescent="0.25">
      <c r="B5" s="18" t="s">
        <v>145</v>
      </c>
      <c r="C5" t="s">
        <v>140</v>
      </c>
    </row>
    <row r="6" spans="1:3" x14ac:dyDescent="0.25">
      <c r="B6" t="s">
        <v>132</v>
      </c>
    </row>
    <row r="7" spans="1:3" x14ac:dyDescent="0.25">
      <c r="B7" t="s">
        <v>148</v>
      </c>
    </row>
    <row r="8" spans="1:3" x14ac:dyDescent="0.25">
      <c r="B8" t="s">
        <v>146</v>
      </c>
    </row>
    <row r="9" spans="1:3" x14ac:dyDescent="0.25">
      <c r="B9" t="s">
        <v>147</v>
      </c>
    </row>
    <row r="10" spans="1:3" x14ac:dyDescent="0.25">
      <c r="B10" t="s">
        <v>149</v>
      </c>
    </row>
    <row r="11" spans="1:3" x14ac:dyDescent="0.25">
      <c r="B11" t="s">
        <v>142</v>
      </c>
    </row>
    <row r="12" spans="1:3" x14ac:dyDescent="0.25">
      <c r="B12" t="s">
        <v>143</v>
      </c>
    </row>
    <row r="13" spans="1:3" x14ac:dyDescent="0.25">
      <c r="B13" t="s">
        <v>141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473E-4CA8-4CCC-A3DE-665DD17AA59C}">
  <dimension ref="A1:AM14"/>
  <sheetViews>
    <sheetView workbookViewId="0">
      <selection activeCell="AL19" sqref="AL19"/>
    </sheetView>
  </sheetViews>
  <sheetFormatPr defaultRowHeight="15" x14ac:dyDescent="0.25"/>
  <cols>
    <col min="1" max="1" width="12.42578125" bestFit="1" customWidth="1"/>
    <col min="2" max="2" width="4" bestFit="1" customWidth="1"/>
    <col min="3" max="26" width="2.7109375" bestFit="1" customWidth="1"/>
    <col min="27" max="28" width="2" bestFit="1" customWidth="1"/>
    <col min="29" max="29" width="2.28515625" bestFit="1" customWidth="1"/>
    <col min="30" max="31" width="2.140625" bestFit="1" customWidth="1"/>
    <col min="32" max="32" width="2.28515625" bestFit="1" customWidth="1"/>
    <col min="33" max="34" width="2" bestFit="1" customWidth="1"/>
    <col min="35" max="35" width="4.85546875" customWidth="1"/>
    <col min="36" max="36" width="10.140625" bestFit="1" customWidth="1"/>
    <col min="37" max="37" width="11.7109375" bestFit="1" customWidth="1"/>
    <col min="38" max="38" width="10.5703125" bestFit="1" customWidth="1"/>
    <col min="39" max="39" width="9" bestFit="1" customWidth="1"/>
  </cols>
  <sheetData>
    <row r="1" spans="1:39" x14ac:dyDescent="0.25">
      <c r="A1" s="35" t="s">
        <v>32</v>
      </c>
      <c r="B1" s="35" t="s">
        <v>30</v>
      </c>
      <c r="C1" s="20">
        <v>0</v>
      </c>
      <c r="D1" s="20">
        <v>0</v>
      </c>
      <c r="E1" s="20">
        <v>0</v>
      </c>
      <c r="F1" s="20">
        <v>0</v>
      </c>
      <c r="G1" s="20">
        <v>0</v>
      </c>
      <c r="H1" s="20">
        <v>0</v>
      </c>
      <c r="I1" s="20">
        <v>0</v>
      </c>
      <c r="J1" s="20">
        <v>0</v>
      </c>
      <c r="K1" s="20">
        <v>0</v>
      </c>
      <c r="L1" s="20">
        <v>0</v>
      </c>
      <c r="M1" s="20">
        <v>0</v>
      </c>
      <c r="N1" s="20">
        <v>0</v>
      </c>
      <c r="O1" s="20">
        <v>0</v>
      </c>
      <c r="P1" s="20">
        <v>0</v>
      </c>
      <c r="Q1" s="20">
        <v>0</v>
      </c>
      <c r="R1" s="20">
        <v>0</v>
      </c>
      <c r="S1" s="20">
        <v>1</v>
      </c>
      <c r="T1" s="20">
        <v>1</v>
      </c>
      <c r="U1" s="20">
        <v>1</v>
      </c>
      <c r="V1" s="20">
        <v>1</v>
      </c>
      <c r="W1" s="20">
        <v>1</v>
      </c>
      <c r="X1" s="20">
        <v>1</v>
      </c>
      <c r="Y1" s="20">
        <v>1</v>
      </c>
      <c r="Z1" s="20">
        <v>1</v>
      </c>
      <c r="AA1" s="20">
        <v>1</v>
      </c>
      <c r="AB1" s="20">
        <v>1</v>
      </c>
      <c r="AC1" s="20">
        <v>1</v>
      </c>
      <c r="AD1" s="20">
        <v>1</v>
      </c>
      <c r="AE1" s="20">
        <v>1</v>
      </c>
      <c r="AF1" s="20">
        <v>1</v>
      </c>
      <c r="AG1" s="20">
        <v>1</v>
      </c>
      <c r="AH1" s="20">
        <v>1</v>
      </c>
      <c r="AI1" s="36" t="s">
        <v>31</v>
      </c>
      <c r="AJ1" s="35" t="s">
        <v>37</v>
      </c>
      <c r="AK1" s="35" t="s">
        <v>38</v>
      </c>
      <c r="AL1" s="35" t="s">
        <v>39</v>
      </c>
      <c r="AM1" s="35" t="s">
        <v>40</v>
      </c>
    </row>
    <row r="2" spans="1:39" x14ac:dyDescent="0.25">
      <c r="A2" s="35"/>
      <c r="B2" s="35"/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  <c r="I2" s="20">
        <v>6</v>
      </c>
      <c r="J2" s="20">
        <v>7</v>
      </c>
      <c r="K2" s="20">
        <v>8</v>
      </c>
      <c r="L2" s="20">
        <v>9</v>
      </c>
      <c r="M2" s="20" t="s">
        <v>29</v>
      </c>
      <c r="N2" s="20" t="s">
        <v>41</v>
      </c>
      <c r="O2" s="20" t="s">
        <v>42</v>
      </c>
      <c r="P2" s="20" t="s">
        <v>43</v>
      </c>
      <c r="Q2" s="20" t="s">
        <v>44</v>
      </c>
      <c r="R2" s="20" t="s">
        <v>45</v>
      </c>
      <c r="S2" s="20">
        <v>0</v>
      </c>
      <c r="T2" s="20">
        <v>1</v>
      </c>
      <c r="U2" s="20">
        <v>2</v>
      </c>
      <c r="V2" s="20">
        <v>3</v>
      </c>
      <c r="W2" s="20">
        <v>4</v>
      </c>
      <c r="X2" s="20">
        <v>5</v>
      </c>
      <c r="Y2" s="20">
        <v>6</v>
      </c>
      <c r="Z2" s="20">
        <v>7</v>
      </c>
      <c r="AA2" s="20">
        <v>8</v>
      </c>
      <c r="AB2" s="20">
        <v>9</v>
      </c>
      <c r="AC2" s="20" t="s">
        <v>29</v>
      </c>
      <c r="AD2" s="20" t="s">
        <v>41</v>
      </c>
      <c r="AE2" s="20" t="s">
        <v>42</v>
      </c>
      <c r="AF2" s="20" t="s">
        <v>43</v>
      </c>
      <c r="AG2" s="20" t="s">
        <v>44</v>
      </c>
      <c r="AH2" s="20" t="s">
        <v>45</v>
      </c>
      <c r="AI2" s="36"/>
      <c r="AJ2" s="35"/>
      <c r="AK2" s="35"/>
      <c r="AL2" s="35"/>
      <c r="AM2" s="35"/>
    </row>
    <row r="3" spans="1:39" x14ac:dyDescent="0.25">
      <c r="AI3" s="19"/>
    </row>
    <row r="4" spans="1:39" x14ac:dyDescent="0.25">
      <c r="A4" t="s">
        <v>33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s="21" t="s">
        <v>47</v>
      </c>
      <c r="T4" s="21" t="s">
        <v>47</v>
      </c>
      <c r="U4" s="21">
        <v>0</v>
      </c>
      <c r="V4" s="21">
        <v>0</v>
      </c>
      <c r="W4" s="23">
        <v>1</v>
      </c>
      <c r="X4" s="23">
        <v>1</v>
      </c>
      <c r="Y4" s="23">
        <v>1</v>
      </c>
      <c r="Z4" s="23">
        <v>1</v>
      </c>
      <c r="AA4" s="24">
        <v>1</v>
      </c>
      <c r="AB4" s="24">
        <v>1</v>
      </c>
      <c r="AC4" s="24">
        <v>1</v>
      </c>
      <c r="AD4" s="24">
        <v>1</v>
      </c>
      <c r="AE4" s="24">
        <v>1</v>
      </c>
      <c r="AF4" s="24">
        <v>1</v>
      </c>
      <c r="AG4" s="24">
        <v>1</v>
      </c>
      <c r="AH4" s="25">
        <v>1</v>
      </c>
      <c r="AJ4" s="3">
        <f>POWER(2,18)</f>
        <v>262144</v>
      </c>
      <c r="AK4" s="2">
        <f>BitWidth</f>
        <v>16</v>
      </c>
      <c r="AL4" s="3">
        <f>AJ4*AK4</f>
        <v>4194304</v>
      </c>
      <c r="AM4" s="3">
        <f>AL4/8</f>
        <v>524288</v>
      </c>
    </row>
    <row r="5" spans="1:39" x14ac:dyDescent="0.25">
      <c r="A5" t="s">
        <v>34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s="21" t="s">
        <v>47</v>
      </c>
      <c r="T5" s="21" t="s">
        <v>47</v>
      </c>
      <c r="U5" s="21">
        <v>0</v>
      </c>
      <c r="V5" s="21">
        <v>1</v>
      </c>
      <c r="W5" s="23">
        <v>1</v>
      </c>
      <c r="X5" s="23">
        <v>1</v>
      </c>
      <c r="Y5" s="23">
        <v>1</v>
      </c>
      <c r="Z5" s="23">
        <v>1</v>
      </c>
      <c r="AA5" s="24">
        <v>1</v>
      </c>
      <c r="AB5" s="24">
        <v>1</v>
      </c>
      <c r="AC5" s="24">
        <v>1</v>
      </c>
      <c r="AD5" s="24">
        <v>1</v>
      </c>
      <c r="AE5" s="24">
        <v>1</v>
      </c>
      <c r="AF5" s="24">
        <v>1</v>
      </c>
      <c r="AG5" s="24">
        <v>1</v>
      </c>
      <c r="AH5" s="25">
        <v>1</v>
      </c>
      <c r="AJ5" s="3">
        <f t="shared" ref="AJ5:AJ7" si="0">POWER(2,18)</f>
        <v>262144</v>
      </c>
      <c r="AK5" s="2">
        <f>BitWidth</f>
        <v>16</v>
      </c>
      <c r="AL5" s="3">
        <f t="shared" ref="AL5:AL7" si="1">AJ5*AK5</f>
        <v>4194304</v>
      </c>
      <c r="AM5" s="3">
        <f t="shared" ref="AM5:AM12" si="2">AL5/8</f>
        <v>524288</v>
      </c>
    </row>
    <row r="6" spans="1:39" x14ac:dyDescent="0.25">
      <c r="A6" t="s">
        <v>35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s="21" t="s">
        <v>47</v>
      </c>
      <c r="T6" s="21" t="s">
        <v>47</v>
      </c>
      <c r="U6" s="21">
        <v>1</v>
      </c>
      <c r="V6" s="21">
        <v>0</v>
      </c>
      <c r="W6" s="23">
        <v>1</v>
      </c>
      <c r="X6" s="23">
        <v>1</v>
      </c>
      <c r="Y6" s="23">
        <v>1</v>
      </c>
      <c r="Z6" s="23">
        <v>1</v>
      </c>
      <c r="AA6" s="24">
        <v>1</v>
      </c>
      <c r="AB6" s="24">
        <v>1</v>
      </c>
      <c r="AC6" s="24">
        <v>1</v>
      </c>
      <c r="AD6" s="24">
        <v>1</v>
      </c>
      <c r="AE6" s="24">
        <v>1</v>
      </c>
      <c r="AF6" s="24">
        <v>1</v>
      </c>
      <c r="AG6" s="24">
        <v>1</v>
      </c>
      <c r="AH6" s="25">
        <v>1</v>
      </c>
      <c r="AJ6" s="3">
        <f t="shared" si="0"/>
        <v>262144</v>
      </c>
      <c r="AK6" s="2">
        <f>BitWidth</f>
        <v>16</v>
      </c>
      <c r="AL6" s="3">
        <f t="shared" si="1"/>
        <v>4194304</v>
      </c>
      <c r="AM6" s="3">
        <f t="shared" si="2"/>
        <v>524288</v>
      </c>
    </row>
    <row r="7" spans="1:39" x14ac:dyDescent="0.25">
      <c r="A7" t="s">
        <v>36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s="21" t="s">
        <v>47</v>
      </c>
      <c r="T7" s="21" t="s">
        <v>47</v>
      </c>
      <c r="U7" s="21">
        <v>1</v>
      </c>
      <c r="V7" s="21">
        <v>1</v>
      </c>
      <c r="W7" s="23">
        <v>1</v>
      </c>
      <c r="X7" s="23">
        <v>1</v>
      </c>
      <c r="Y7" s="23">
        <v>1</v>
      </c>
      <c r="Z7" s="23">
        <v>1</v>
      </c>
      <c r="AA7" s="24">
        <v>1</v>
      </c>
      <c r="AB7" s="24">
        <v>1</v>
      </c>
      <c r="AC7" s="24">
        <v>1</v>
      </c>
      <c r="AD7" s="24">
        <v>1</v>
      </c>
      <c r="AE7" s="24">
        <v>1</v>
      </c>
      <c r="AF7" s="24">
        <v>1</v>
      </c>
      <c r="AG7" s="24">
        <v>1</v>
      </c>
      <c r="AH7" s="25">
        <v>1</v>
      </c>
      <c r="AJ7" s="3">
        <f t="shared" si="0"/>
        <v>262144</v>
      </c>
      <c r="AK7" s="2">
        <f>BitWidth</f>
        <v>16</v>
      </c>
      <c r="AL7" s="3">
        <f t="shared" si="1"/>
        <v>4194304</v>
      </c>
      <c r="AM7" s="3">
        <f t="shared" si="2"/>
        <v>524288</v>
      </c>
    </row>
    <row r="8" spans="1:39" x14ac:dyDescent="0.25"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9" x14ac:dyDescent="0.25">
      <c r="A9" t="s">
        <v>53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s="21">
        <v>0</v>
      </c>
      <c r="T9" s="21">
        <v>0</v>
      </c>
      <c r="U9" s="21">
        <v>0</v>
      </c>
      <c r="V9" s="21">
        <v>0</v>
      </c>
      <c r="W9" s="23">
        <v>0</v>
      </c>
      <c r="X9" s="23">
        <v>0</v>
      </c>
      <c r="Y9" s="23">
        <v>0</v>
      </c>
      <c r="Z9" s="23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5">
        <v>0</v>
      </c>
      <c r="AJ9" s="3">
        <f>POWER(2,16)</f>
        <v>65536</v>
      </c>
      <c r="AK9" s="2">
        <f>BitWidth</f>
        <v>16</v>
      </c>
      <c r="AL9" s="3">
        <f>AJ9*AK9</f>
        <v>1048576</v>
      </c>
      <c r="AM9" s="3">
        <f t="shared" si="2"/>
        <v>131072</v>
      </c>
    </row>
    <row r="10" spans="1:39" x14ac:dyDescent="0.25">
      <c r="A10" t="s">
        <v>54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s="21">
        <v>0</v>
      </c>
      <c r="T10" s="21">
        <v>1</v>
      </c>
      <c r="U10" s="21">
        <v>0</v>
      </c>
      <c r="V10" s="21">
        <v>0</v>
      </c>
      <c r="W10" s="23">
        <v>0</v>
      </c>
      <c r="X10" s="23">
        <v>0</v>
      </c>
      <c r="Y10" s="23">
        <v>0</v>
      </c>
      <c r="Z10" s="23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5">
        <v>0</v>
      </c>
      <c r="AJ10" s="3">
        <f>POWER(2,16)</f>
        <v>65536</v>
      </c>
      <c r="AK10" s="2">
        <f>BitWidth</f>
        <v>16</v>
      </c>
      <c r="AL10" s="3">
        <f>AJ10*AK10</f>
        <v>1048576</v>
      </c>
      <c r="AM10" s="3">
        <f t="shared" si="2"/>
        <v>131072</v>
      </c>
    </row>
    <row r="11" spans="1:39" x14ac:dyDescent="0.25">
      <c r="A11" t="s">
        <v>55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s="21">
        <v>1</v>
      </c>
      <c r="T11" s="21">
        <v>0</v>
      </c>
      <c r="U11" s="21">
        <v>0</v>
      </c>
      <c r="V11" s="21">
        <v>0</v>
      </c>
      <c r="W11" s="23">
        <v>0</v>
      </c>
      <c r="X11" s="23">
        <v>0</v>
      </c>
      <c r="Y11" s="23">
        <v>0</v>
      </c>
      <c r="Z11" s="23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5">
        <v>0</v>
      </c>
      <c r="AJ11" s="3">
        <f t="shared" ref="AJ11:AJ12" si="3">POWER(2,16)</f>
        <v>65536</v>
      </c>
      <c r="AK11" s="2">
        <f>BitWidth</f>
        <v>16</v>
      </c>
      <c r="AL11" s="3">
        <f t="shared" ref="AL11:AL12" si="4">AJ11*AK11</f>
        <v>1048576</v>
      </c>
      <c r="AM11" s="3">
        <f t="shared" si="2"/>
        <v>131072</v>
      </c>
    </row>
    <row r="12" spans="1:39" x14ac:dyDescent="0.25">
      <c r="A12" t="s">
        <v>56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s="21">
        <v>1</v>
      </c>
      <c r="T12" s="21">
        <v>1</v>
      </c>
      <c r="U12" s="21">
        <v>0</v>
      </c>
      <c r="V12" s="21">
        <v>0</v>
      </c>
      <c r="W12" s="23">
        <v>0</v>
      </c>
      <c r="X12" s="23">
        <v>0</v>
      </c>
      <c r="Y12" s="23">
        <v>0</v>
      </c>
      <c r="Z12" s="23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5">
        <v>0</v>
      </c>
      <c r="AJ12" s="3">
        <f t="shared" si="3"/>
        <v>65536</v>
      </c>
      <c r="AK12" s="2">
        <f>BitWidth</f>
        <v>16</v>
      </c>
      <c r="AL12" s="3">
        <f t="shared" si="4"/>
        <v>1048576</v>
      </c>
      <c r="AM12" s="3">
        <f t="shared" si="2"/>
        <v>131072</v>
      </c>
    </row>
    <row r="14" spans="1:39" x14ac:dyDescent="0.25"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s="21" t="s">
        <v>48</v>
      </c>
      <c r="T14" s="21" t="s">
        <v>48</v>
      </c>
      <c r="U14" s="21" t="s">
        <v>48</v>
      </c>
      <c r="V14" s="21" t="s">
        <v>48</v>
      </c>
      <c r="W14" s="23" t="s">
        <v>48</v>
      </c>
      <c r="X14" s="23" t="s">
        <v>48</v>
      </c>
      <c r="Y14" s="23" t="s">
        <v>48</v>
      </c>
      <c r="Z14" s="23" t="s">
        <v>48</v>
      </c>
      <c r="AA14" s="24">
        <v>1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5">
        <v>0</v>
      </c>
    </row>
  </sheetData>
  <mergeCells count="7">
    <mergeCell ref="A1:A2"/>
    <mergeCell ref="AK1:AK2"/>
    <mergeCell ref="AL1:AL2"/>
    <mergeCell ref="AM1:AM2"/>
    <mergeCell ref="B1:B2"/>
    <mergeCell ref="AI1:AI2"/>
    <mergeCell ref="AJ1:A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3E68-87D0-4360-B985-817B8B660767}">
  <dimension ref="A1:C11"/>
  <sheetViews>
    <sheetView workbookViewId="0">
      <selection activeCell="C11" sqref="C11"/>
    </sheetView>
  </sheetViews>
  <sheetFormatPr defaultRowHeight="15" x14ac:dyDescent="0.25"/>
  <cols>
    <col min="1" max="1" width="23.28515625" bestFit="1" customWidth="1"/>
    <col min="2" max="2" width="8" bestFit="1" customWidth="1"/>
  </cols>
  <sheetData>
    <row r="1" spans="1:3" x14ac:dyDescent="0.25">
      <c r="A1" t="s">
        <v>63</v>
      </c>
      <c r="B1" t="s">
        <v>66</v>
      </c>
      <c r="C1" t="s">
        <v>95</v>
      </c>
    </row>
    <row r="2" spans="1:3" x14ac:dyDescent="0.25">
      <c r="A2" t="s">
        <v>77</v>
      </c>
      <c r="B2" t="s">
        <v>78</v>
      </c>
    </row>
    <row r="3" spans="1:3" x14ac:dyDescent="0.25">
      <c r="A3" t="s">
        <v>79</v>
      </c>
      <c r="B3" t="s">
        <v>80</v>
      </c>
      <c r="C3">
        <v>0</v>
      </c>
    </row>
    <row r="4" spans="1:3" x14ac:dyDescent="0.25">
      <c r="A4" t="s">
        <v>73</v>
      </c>
      <c r="B4" t="s">
        <v>75</v>
      </c>
      <c r="C4">
        <v>8</v>
      </c>
    </row>
    <row r="5" spans="1:3" x14ac:dyDescent="0.25">
      <c r="A5" t="s">
        <v>74</v>
      </c>
      <c r="B5" t="s">
        <v>76</v>
      </c>
      <c r="C5">
        <v>7</v>
      </c>
    </row>
    <row r="6" spans="1:3" x14ac:dyDescent="0.25">
      <c r="A6" t="s">
        <v>67</v>
      </c>
      <c r="B6" t="s">
        <v>68</v>
      </c>
      <c r="C6">
        <v>6</v>
      </c>
    </row>
    <row r="7" spans="1:3" x14ac:dyDescent="0.25">
      <c r="A7" t="s">
        <v>71</v>
      </c>
      <c r="B7" t="s">
        <v>69</v>
      </c>
      <c r="C7">
        <v>5</v>
      </c>
    </row>
    <row r="8" spans="1:3" x14ac:dyDescent="0.25">
      <c r="A8" t="s">
        <v>72</v>
      </c>
      <c r="B8" t="s">
        <v>70</v>
      </c>
      <c r="C8">
        <v>4</v>
      </c>
    </row>
    <row r="9" spans="1:3" x14ac:dyDescent="0.25">
      <c r="A9" t="s">
        <v>64</v>
      </c>
      <c r="B9" t="s">
        <v>29</v>
      </c>
      <c r="C9">
        <v>3</v>
      </c>
    </row>
    <row r="10" spans="1:3" x14ac:dyDescent="0.25">
      <c r="A10" t="s">
        <v>65</v>
      </c>
      <c r="B10" t="s">
        <v>41</v>
      </c>
      <c r="C10">
        <v>2</v>
      </c>
    </row>
    <row r="11" spans="1:3" x14ac:dyDescent="0.25">
      <c r="A11" t="s">
        <v>83</v>
      </c>
      <c r="B11" t="s">
        <v>84</v>
      </c>
      <c r="C11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FCB8-ABB1-46A9-8E44-5C1148367B52}">
  <dimension ref="A1:C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63</v>
      </c>
      <c r="B1" t="s">
        <v>81</v>
      </c>
      <c r="C1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9133-2A22-4509-B678-84E06D711123}">
  <dimension ref="A1:H5"/>
  <sheetViews>
    <sheetView workbookViewId="0">
      <selection activeCell="C7" sqref="C7"/>
    </sheetView>
  </sheetViews>
  <sheetFormatPr defaultRowHeight="15" x14ac:dyDescent="0.25"/>
  <cols>
    <col min="1" max="1" width="3" bestFit="1" customWidth="1"/>
    <col min="2" max="2" width="2.140625" bestFit="1" customWidth="1"/>
    <col min="3" max="3" width="5" bestFit="1" customWidth="1"/>
    <col min="4" max="4" width="6.42578125" bestFit="1" customWidth="1"/>
    <col min="5" max="5" width="3.5703125" bestFit="1" customWidth="1"/>
    <col min="6" max="6" width="5" bestFit="1" customWidth="1"/>
    <col min="7" max="7" width="4.7109375" bestFit="1" customWidth="1"/>
    <col min="8" max="8" width="6.140625" bestFit="1" customWidth="1"/>
  </cols>
  <sheetData>
    <row r="1" spans="1:8" x14ac:dyDescent="0.25">
      <c r="A1" t="s">
        <v>29</v>
      </c>
      <c r="B1" t="s">
        <v>41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 x14ac:dyDescent="0.25">
      <c r="A2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</row>
    <row r="3" spans="1:8" x14ac:dyDescent="0.25">
      <c r="A3">
        <v>0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</row>
    <row r="4" spans="1:8" x14ac:dyDescent="0.25">
      <c r="A4">
        <v>1</v>
      </c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</row>
    <row r="5" spans="1:8" x14ac:dyDescent="0.25">
      <c r="A5">
        <v>1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0A31-5EC3-4160-AAAC-D624DEE46C35}">
  <dimension ref="A1:AE15"/>
  <sheetViews>
    <sheetView workbookViewId="0">
      <selection activeCell="AB16" sqref="AB16"/>
    </sheetView>
  </sheetViews>
  <sheetFormatPr defaultRowHeight="15" x14ac:dyDescent="0.25"/>
  <cols>
    <col min="1" max="1" width="11.5703125" bestFit="1" customWidth="1"/>
    <col min="2" max="5" width="8" bestFit="1" customWidth="1"/>
    <col min="6" max="25" width="7" bestFit="1" customWidth="1"/>
    <col min="27" max="27" width="6" bestFit="1" customWidth="1"/>
    <col min="28" max="30" width="3" bestFit="1" customWidth="1"/>
    <col min="31" max="31" width="14.7109375" bestFit="1" customWidth="1"/>
  </cols>
  <sheetData>
    <row r="1" spans="1:31" s="26" customFormat="1" ht="114" x14ac:dyDescent="0.25">
      <c r="A1" s="27"/>
      <c r="B1" s="27" t="s">
        <v>87</v>
      </c>
      <c r="C1" s="27" t="s">
        <v>88</v>
      </c>
      <c r="D1" s="27" t="s">
        <v>91</v>
      </c>
      <c r="E1" s="27" t="s">
        <v>89</v>
      </c>
      <c r="F1" s="27" t="s">
        <v>90</v>
      </c>
      <c r="G1" s="27" t="s">
        <v>92</v>
      </c>
      <c r="H1" s="27" t="s">
        <v>93</v>
      </c>
      <c r="I1" s="27" t="s">
        <v>94</v>
      </c>
      <c r="J1" s="27" t="s">
        <v>86</v>
      </c>
      <c r="K1" s="27" t="s">
        <v>81</v>
      </c>
      <c r="L1" s="27" t="s">
        <v>82</v>
      </c>
      <c r="M1" s="27" t="s">
        <v>85</v>
      </c>
      <c r="N1" s="27" t="s">
        <v>86</v>
      </c>
      <c r="O1" s="27" t="s">
        <v>86</v>
      </c>
      <c r="P1" s="27" t="s">
        <v>86</v>
      </c>
      <c r="Q1" s="27" t="s">
        <v>86</v>
      </c>
      <c r="R1" s="37" t="s">
        <v>96</v>
      </c>
      <c r="S1" s="37"/>
      <c r="T1" s="37"/>
      <c r="U1" s="37"/>
      <c r="V1" s="27" t="s">
        <v>115</v>
      </c>
      <c r="W1" s="27" t="s">
        <v>108</v>
      </c>
      <c r="X1" s="27" t="s">
        <v>99</v>
      </c>
      <c r="Y1" s="27" t="s">
        <v>97</v>
      </c>
    </row>
    <row r="2" spans="1:31" x14ac:dyDescent="0.25">
      <c r="A2" s="20"/>
      <c r="B2" s="28">
        <v>7</v>
      </c>
      <c r="C2" s="28">
        <v>6</v>
      </c>
      <c r="D2" s="28">
        <v>5</v>
      </c>
      <c r="E2" s="28">
        <v>4</v>
      </c>
      <c r="F2" s="28">
        <v>3</v>
      </c>
      <c r="G2" s="28">
        <v>2</v>
      </c>
      <c r="H2" s="28">
        <v>1</v>
      </c>
      <c r="I2" s="28">
        <v>0</v>
      </c>
      <c r="J2" s="31" t="s">
        <v>45</v>
      </c>
      <c r="K2" s="31" t="s">
        <v>44</v>
      </c>
      <c r="L2" s="31" t="s">
        <v>43</v>
      </c>
      <c r="M2" s="31" t="s">
        <v>42</v>
      </c>
      <c r="N2" s="31" t="s">
        <v>41</v>
      </c>
      <c r="O2" s="31" t="s">
        <v>29</v>
      </c>
      <c r="P2" s="31">
        <v>9</v>
      </c>
      <c r="Q2" s="31">
        <v>8</v>
      </c>
      <c r="R2" s="28">
        <v>7</v>
      </c>
      <c r="S2" s="28">
        <v>6</v>
      </c>
      <c r="T2" s="28">
        <v>5</v>
      </c>
      <c r="U2" s="28">
        <v>4</v>
      </c>
      <c r="V2" s="28">
        <v>3</v>
      </c>
      <c r="W2" s="28">
        <v>2</v>
      </c>
      <c r="X2" s="28">
        <v>1</v>
      </c>
      <c r="Y2" s="28">
        <v>0</v>
      </c>
    </row>
    <row r="3" spans="1:31" x14ac:dyDescent="0.25">
      <c r="A3" s="20"/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31" x14ac:dyDescent="0.25">
      <c r="A4" s="20"/>
      <c r="B4" s="29">
        <f t="shared" ref="B4:W4" si="0">C4*2</f>
        <v>8388608</v>
      </c>
      <c r="C4" s="29">
        <f t="shared" si="0"/>
        <v>4194304</v>
      </c>
      <c r="D4" s="29">
        <f t="shared" si="0"/>
        <v>2097152</v>
      </c>
      <c r="E4" s="29">
        <f t="shared" si="0"/>
        <v>1048576</v>
      </c>
      <c r="F4" s="29">
        <f t="shared" si="0"/>
        <v>524288</v>
      </c>
      <c r="G4" s="29">
        <f t="shared" si="0"/>
        <v>262144</v>
      </c>
      <c r="H4" s="29">
        <f t="shared" si="0"/>
        <v>131072</v>
      </c>
      <c r="I4" s="29">
        <f t="shared" si="0"/>
        <v>65536</v>
      </c>
      <c r="J4" s="30">
        <f t="shared" si="0"/>
        <v>32768</v>
      </c>
      <c r="K4" s="30">
        <f t="shared" si="0"/>
        <v>16384</v>
      </c>
      <c r="L4" s="30">
        <f t="shared" si="0"/>
        <v>8192</v>
      </c>
      <c r="M4" s="30">
        <f t="shared" si="0"/>
        <v>4096</v>
      </c>
      <c r="N4" s="30">
        <f t="shared" si="0"/>
        <v>2048</v>
      </c>
      <c r="O4" s="30">
        <f t="shared" si="0"/>
        <v>1024</v>
      </c>
      <c r="P4" s="30">
        <f t="shared" si="0"/>
        <v>512</v>
      </c>
      <c r="Q4" s="30">
        <f t="shared" si="0"/>
        <v>256</v>
      </c>
      <c r="R4" s="29">
        <f t="shared" si="0"/>
        <v>128</v>
      </c>
      <c r="S4" s="29">
        <f t="shared" si="0"/>
        <v>64</v>
      </c>
      <c r="T4" s="29">
        <f t="shared" si="0"/>
        <v>32</v>
      </c>
      <c r="U4" s="29">
        <f t="shared" si="0"/>
        <v>16</v>
      </c>
      <c r="V4" s="29">
        <f t="shared" si="0"/>
        <v>8</v>
      </c>
      <c r="W4" s="29">
        <f t="shared" si="0"/>
        <v>4</v>
      </c>
      <c r="X4" s="29">
        <f>Y4*2</f>
        <v>2</v>
      </c>
      <c r="Y4" s="29">
        <v>1</v>
      </c>
    </row>
    <row r="5" spans="1:31" x14ac:dyDescent="0.25">
      <c r="A5" s="20"/>
      <c r="B5" s="29" t="str">
        <f t="shared" ref="B5:X5" si="1">DEC2HEX(B4,6)</f>
        <v>800000</v>
      </c>
      <c r="C5" s="29" t="str">
        <f t="shared" si="1"/>
        <v>400000</v>
      </c>
      <c r="D5" s="29" t="str">
        <f t="shared" si="1"/>
        <v>200000</v>
      </c>
      <c r="E5" s="29" t="str">
        <f t="shared" si="1"/>
        <v>100000</v>
      </c>
      <c r="F5" s="29" t="str">
        <f t="shared" si="1"/>
        <v>080000</v>
      </c>
      <c r="G5" s="29" t="str">
        <f t="shared" si="1"/>
        <v>040000</v>
      </c>
      <c r="H5" s="29" t="str">
        <f t="shared" si="1"/>
        <v>020000</v>
      </c>
      <c r="I5" s="29" t="str">
        <f t="shared" si="1"/>
        <v>010000</v>
      </c>
      <c r="J5" s="30" t="str">
        <f t="shared" si="1"/>
        <v>008000</v>
      </c>
      <c r="K5" s="30" t="str">
        <f t="shared" si="1"/>
        <v>004000</v>
      </c>
      <c r="L5" s="30" t="str">
        <f t="shared" si="1"/>
        <v>002000</v>
      </c>
      <c r="M5" s="30" t="str">
        <f t="shared" si="1"/>
        <v>001000</v>
      </c>
      <c r="N5" s="30" t="str">
        <f t="shared" si="1"/>
        <v>000800</v>
      </c>
      <c r="O5" s="30" t="str">
        <f t="shared" si="1"/>
        <v>000400</v>
      </c>
      <c r="P5" s="30" t="str">
        <f t="shared" si="1"/>
        <v>000200</v>
      </c>
      <c r="Q5" s="30" t="str">
        <f t="shared" si="1"/>
        <v>000100</v>
      </c>
      <c r="R5" s="29" t="str">
        <f t="shared" si="1"/>
        <v>000080</v>
      </c>
      <c r="S5" s="29" t="str">
        <f t="shared" si="1"/>
        <v>000040</v>
      </c>
      <c r="T5" s="29" t="str">
        <f t="shared" si="1"/>
        <v>000020</v>
      </c>
      <c r="U5" s="29" t="str">
        <f t="shared" si="1"/>
        <v>000010</v>
      </c>
      <c r="V5" s="29" t="str">
        <f t="shared" si="1"/>
        <v>000008</v>
      </c>
      <c r="W5" s="29" t="str">
        <f t="shared" si="1"/>
        <v>000004</v>
      </c>
      <c r="X5" s="29" t="str">
        <f t="shared" si="1"/>
        <v>000002</v>
      </c>
      <c r="Y5" s="29" t="str">
        <f>DEC2HEX(Y4,6)</f>
        <v>000001</v>
      </c>
    </row>
    <row r="6" spans="1:31" x14ac:dyDescent="0.25">
      <c r="A6" t="s">
        <v>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31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AA7" s="18" t="s">
        <v>119</v>
      </c>
      <c r="AB7" s="18" t="s">
        <v>102</v>
      </c>
      <c r="AC7" s="18" t="s">
        <v>102</v>
      </c>
      <c r="AD7" s="18" t="s">
        <v>102</v>
      </c>
      <c r="AE7" t="s">
        <v>127</v>
      </c>
    </row>
    <row r="8" spans="1:31" x14ac:dyDescent="0.25">
      <c r="A8" t="s">
        <v>101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>
        <v>1</v>
      </c>
      <c r="AA8" s="18" t="s">
        <v>120</v>
      </c>
      <c r="AB8" s="18" t="s">
        <v>102</v>
      </c>
      <c r="AC8" s="18" t="s">
        <v>103</v>
      </c>
      <c r="AD8" s="18" t="s">
        <v>104</v>
      </c>
      <c r="AE8" t="s">
        <v>109</v>
      </c>
    </row>
    <row r="9" spans="1:31" x14ac:dyDescent="0.25">
      <c r="AA9" s="18" t="s">
        <v>121</v>
      </c>
      <c r="AB9" s="18" t="s">
        <v>102</v>
      </c>
      <c r="AC9" s="18">
        <v>40</v>
      </c>
      <c r="AD9" s="18" t="s">
        <v>105</v>
      </c>
      <c r="AE9" t="s">
        <v>111</v>
      </c>
    </row>
    <row r="10" spans="1:31" x14ac:dyDescent="0.25">
      <c r="AA10" s="18" t="s">
        <v>122</v>
      </c>
      <c r="AB10" s="18" t="s">
        <v>102</v>
      </c>
      <c r="AC10" s="18" t="s">
        <v>106</v>
      </c>
      <c r="AD10" s="18" t="s">
        <v>104</v>
      </c>
      <c r="AE10" t="s">
        <v>110</v>
      </c>
    </row>
    <row r="11" spans="1:31" x14ac:dyDescent="0.25">
      <c r="AA11" s="18" t="s">
        <v>123</v>
      </c>
      <c r="AB11" s="18" t="s">
        <v>102</v>
      </c>
      <c r="AC11" s="18">
        <v>40</v>
      </c>
      <c r="AD11" s="18" t="s">
        <v>107</v>
      </c>
      <c r="AE11" t="s">
        <v>112</v>
      </c>
    </row>
    <row r="12" spans="1:31" x14ac:dyDescent="0.25">
      <c r="AA12" s="18" t="s">
        <v>124</v>
      </c>
      <c r="AB12" s="18" t="s">
        <v>114</v>
      </c>
      <c r="AC12" s="18" t="s">
        <v>102</v>
      </c>
      <c r="AD12" s="18">
        <v>10</v>
      </c>
      <c r="AE12" t="s">
        <v>113</v>
      </c>
    </row>
    <row r="13" spans="1:31" x14ac:dyDescent="0.25">
      <c r="AA13" s="18" t="s">
        <v>125</v>
      </c>
      <c r="AB13" s="18" t="s">
        <v>102</v>
      </c>
      <c r="AC13" s="18">
        <v>20</v>
      </c>
      <c r="AD13">
        <v>10</v>
      </c>
      <c r="AE13" t="s">
        <v>116</v>
      </c>
    </row>
    <row r="14" spans="1:31" x14ac:dyDescent="0.25">
      <c r="AA14" s="18" t="s">
        <v>126</v>
      </c>
      <c r="AB14" s="18" t="s">
        <v>102</v>
      </c>
      <c r="AC14" s="18">
        <v>40</v>
      </c>
      <c r="AD14" s="18" t="s">
        <v>105</v>
      </c>
      <c r="AE14" t="s">
        <v>117</v>
      </c>
    </row>
    <row r="15" spans="1:31" x14ac:dyDescent="0.25">
      <c r="AA15" s="18" t="s">
        <v>128</v>
      </c>
      <c r="AB15" s="18" t="s">
        <v>104</v>
      </c>
      <c r="AC15" s="18" t="s">
        <v>102</v>
      </c>
      <c r="AD15">
        <v>80</v>
      </c>
      <c r="AE15" t="s">
        <v>118</v>
      </c>
    </row>
  </sheetData>
  <mergeCells count="1">
    <mergeCell ref="R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30351-B820-4EF7-9B73-78E4C681CE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Calculators</vt:lpstr>
      <vt:lpstr>Video Memory Detailed</vt:lpstr>
      <vt:lpstr>Control Registers</vt:lpstr>
      <vt:lpstr>Memory Map</vt:lpstr>
      <vt:lpstr>Register Map</vt:lpstr>
      <vt:lpstr>Bus Map</vt:lpstr>
      <vt:lpstr>Gates</vt:lpstr>
      <vt:lpstr>Micro Code v1</vt:lpstr>
      <vt:lpstr>AddressSpace</vt:lpstr>
      <vt:lpstr>BitWidth</vt:lpstr>
      <vt:lpstr>ValueRequired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2020-01-11T12:29:42Z</dcterms:created>
  <dcterms:modified xsi:type="dcterms:W3CDTF">2020-01-22T17:58:40Z</dcterms:modified>
</cp:coreProperties>
</file>