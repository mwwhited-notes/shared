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e4f4520578ef2c/Documents/CPU Design/"/>
    </mc:Choice>
  </mc:AlternateContent>
  <xr:revisionPtr revIDLastSave="52" documentId="6_{DC10A594-F843-46DF-9649-E2C50365EBD7}" xr6:coauthVersionLast="46" xr6:coauthVersionMax="46" xr10:uidLastSave="{AF4BA0CF-CAD6-4F42-AF7B-7B5ADD58CFAF}"/>
  <bookViews>
    <workbookView xWindow="-28920" yWindow="-120" windowWidth="29040" windowHeight="15990" activeTab="1" xr2:uid="{90EAFD23-513D-41F1-901D-209739E8BA78}"/>
  </bookViews>
  <sheets>
    <sheet name="T 60x33 4bit 8x8" sheetId="1" r:id="rId1"/>
    <sheet name="Sheet2" sheetId="4" r:id="rId2"/>
    <sheet name="T 40x25 4bit 8x8" sheetId="2" r:id="rId3"/>
    <sheet name="Sheet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4" l="1"/>
  <c r="F4" i="4"/>
  <c r="F3" i="4"/>
  <c r="F2" i="4"/>
  <c r="F1" i="4"/>
  <c r="E3" i="4"/>
  <c r="A3" i="4"/>
  <c r="A2" i="4"/>
  <c r="A5" i="1"/>
  <c r="S2" i="3"/>
  <c r="S3" i="3"/>
  <c r="S4" i="3" s="1"/>
  <c r="S5" i="3" s="1"/>
  <c r="S1" i="3"/>
  <c r="R1" i="3"/>
  <c r="Q1" i="3"/>
  <c r="K4" i="3"/>
  <c r="K3" i="3"/>
  <c r="K2" i="3"/>
  <c r="K1" i="3"/>
  <c r="J4" i="3"/>
  <c r="J3" i="3"/>
  <c r="J2" i="3"/>
  <c r="J1" i="3"/>
  <c r="I2" i="3"/>
  <c r="I3" i="3"/>
  <c r="I4" i="3"/>
  <c r="I1" i="3"/>
  <c r="H2" i="3"/>
  <c r="H3" i="3"/>
  <c r="H4" i="3"/>
  <c r="H1" i="3"/>
  <c r="B5" i="3"/>
  <c r="B4" i="3"/>
  <c r="A4" i="3"/>
  <c r="A3" i="3"/>
  <c r="A23" i="1"/>
  <c r="F33" i="2"/>
  <c r="F34" i="2" s="1"/>
  <c r="F35" i="2" s="1"/>
  <c r="F36" i="2" s="1"/>
  <c r="A28" i="2"/>
  <c r="B23" i="2"/>
  <c r="A18" i="2"/>
  <c r="E17" i="2"/>
  <c r="E18" i="2" s="1"/>
  <c r="B13" i="2"/>
  <c r="J7" i="2"/>
  <c r="A7" i="2"/>
  <c r="J6" i="2"/>
  <c r="A6" i="2"/>
  <c r="W5" i="2"/>
  <c r="S5" i="2"/>
  <c r="Q2" i="2" s="1"/>
  <c r="W4" i="2"/>
  <c r="W6" i="2" s="1"/>
  <c r="S4" i="2"/>
  <c r="M4" i="2"/>
  <c r="O33" i="2" s="1"/>
  <c r="O34" i="2" s="1"/>
  <c r="O35" i="2" s="1"/>
  <c r="O36" i="2" s="1"/>
  <c r="J4" i="2"/>
  <c r="X3" i="2"/>
  <c r="W3" i="2"/>
  <c r="S3" i="2"/>
  <c r="Q3" i="2"/>
  <c r="Q4" i="2" s="1"/>
  <c r="A23" i="2" s="1"/>
  <c r="A24" i="2" s="1"/>
  <c r="M3" i="2"/>
  <c r="H3" i="2"/>
  <c r="J3" i="2" s="1"/>
  <c r="X2" i="2"/>
  <c r="W2" i="2"/>
  <c r="S2" i="2"/>
  <c r="U33" i="2" s="1"/>
  <c r="U34" i="2" s="1"/>
  <c r="U35" i="2" s="1"/>
  <c r="U36" i="2" s="1"/>
  <c r="M2" i="2"/>
  <c r="H2" i="2"/>
  <c r="J2" i="2" s="1"/>
  <c r="D2" i="2"/>
  <c r="S5" i="1"/>
  <c r="Q3" i="1"/>
  <c r="S4" i="1"/>
  <c r="S3" i="1"/>
  <c r="S2" i="1"/>
  <c r="A7" i="1"/>
  <c r="A6" i="1"/>
  <c r="W3" i="1"/>
  <c r="W2" i="1"/>
  <c r="X3" i="1"/>
  <c r="X2" i="1"/>
  <c r="W5" i="1"/>
  <c r="W4" i="1"/>
  <c r="W6" i="1" s="1"/>
  <c r="E17" i="1"/>
  <c r="E18" i="1" s="1"/>
  <c r="D2" i="1"/>
  <c r="F33" i="1" s="1"/>
  <c r="F34" i="1" s="1"/>
  <c r="F35" i="1" s="1"/>
  <c r="F36" i="1" s="1"/>
  <c r="A28" i="1"/>
  <c r="B23" i="1"/>
  <c r="A18" i="1"/>
  <c r="B13" i="1"/>
  <c r="H3" i="1"/>
  <c r="J3" i="1" s="1"/>
  <c r="H2" i="1"/>
  <c r="J2" i="1" s="1"/>
  <c r="M4" i="1"/>
  <c r="J4" i="1"/>
  <c r="J6" i="1"/>
  <c r="J7" i="1"/>
  <c r="M3" i="1"/>
  <c r="M2" i="1"/>
  <c r="H4" i="2" l="1"/>
  <c r="J5" i="2" s="1"/>
  <c r="L33" i="2" s="1"/>
  <c r="L34" i="2" s="1"/>
  <c r="W7" i="2"/>
  <c r="A34" i="2" s="1"/>
  <c r="A35" i="2" s="1"/>
  <c r="A10" i="2"/>
  <c r="A10" i="1"/>
  <c r="W7" i="1"/>
  <c r="A34" i="1" s="1"/>
  <c r="A35" i="1" s="1"/>
  <c r="O33" i="1"/>
  <c r="O34" i="1" s="1"/>
  <c r="O35" i="1" s="1"/>
  <c r="O36" i="1" s="1"/>
  <c r="H4" i="1"/>
  <c r="J5" i="1" s="1"/>
  <c r="L33" i="1" s="1"/>
  <c r="L34" i="1" s="1"/>
  <c r="U33" i="1"/>
  <c r="U34" i="1" s="1"/>
  <c r="U35" i="1" s="1"/>
  <c r="U36" i="1" s="1"/>
  <c r="Q2" i="1"/>
  <c r="Q4" i="1" s="1"/>
  <c r="A24" i="1" s="1"/>
  <c r="H5" i="2" l="1"/>
  <c r="H6" i="2"/>
  <c r="L35" i="2"/>
  <c r="L36" i="2" s="1"/>
  <c r="H5" i="1"/>
  <c r="H6" i="1"/>
  <c r="L35" i="1"/>
  <c r="L36" i="1" s="1"/>
  <c r="H7" i="2" l="1"/>
  <c r="A13" i="2" s="1"/>
  <c r="A14" i="2" s="1"/>
  <c r="A2" i="2" s="1"/>
  <c r="A8" i="2" s="1"/>
  <c r="A3" i="2" s="1"/>
  <c r="A4" i="2" s="1"/>
  <c r="H7" i="1"/>
  <c r="A13" i="1" s="1"/>
  <c r="A14" i="1" s="1"/>
  <c r="A2" i="1" s="1"/>
  <c r="A8" i="1" l="1"/>
  <c r="A3" i="1" s="1"/>
  <c r="A4" i="1" s="1"/>
</calcChain>
</file>

<file path=xl/sharedStrings.xml><?xml version="1.0" encoding="utf-8"?>
<sst xmlns="http://schemas.openxmlformats.org/spreadsheetml/2006/main" count="160" uniqueCount="66">
  <si>
    <t>Character Columns</t>
  </si>
  <si>
    <t>Character Rows</t>
  </si>
  <si>
    <t>Character Bytes</t>
  </si>
  <si>
    <t xml:space="preserve">Cursor Column Bit </t>
  </si>
  <si>
    <t xml:space="preserve">Cursor Row Bit </t>
  </si>
  <si>
    <t>Character Page Size Bytes</t>
  </si>
  <si>
    <t>Cursor Character</t>
  </si>
  <si>
    <t>Display Control Register Bytes</t>
  </si>
  <si>
    <t>Display Control Register Bits</t>
  </si>
  <si>
    <t>Character Data Size Bytes</t>
  </si>
  <si>
    <t>Palette Index</t>
  </si>
  <si>
    <t>Character Page</t>
  </si>
  <si>
    <t>Palette Page</t>
  </si>
  <si>
    <t>Character Page Control Register Bits</t>
  </si>
  <si>
    <t>Palette Entry Bits</t>
  </si>
  <si>
    <t>Red</t>
  </si>
  <si>
    <t>Green</t>
  </si>
  <si>
    <t>Blue</t>
  </si>
  <si>
    <t>Flash Pattern</t>
  </si>
  <si>
    <t>Cursor Flash Pattern Override</t>
  </si>
  <si>
    <t>Bytes Per Entry</t>
  </si>
  <si>
    <t>Character Map Selection Index</t>
  </si>
  <si>
    <t>Character Bits</t>
  </si>
  <si>
    <t>Background Color</t>
  </si>
  <si>
    <t>Foreground Color</t>
  </si>
  <si>
    <t>Character Index</t>
  </si>
  <si>
    <t>Character Pages</t>
  </si>
  <si>
    <t>Memory Space</t>
  </si>
  <si>
    <t>Total Bytes for Character Pages</t>
  </si>
  <si>
    <t>Palettes</t>
  </si>
  <si>
    <t>Flash Patterns</t>
  </si>
  <si>
    <t>00</t>
  </si>
  <si>
    <t>Character Maps</t>
  </si>
  <si>
    <t>Used</t>
  </si>
  <si>
    <t>Minimum Bytes</t>
  </si>
  <si>
    <t>Total Bytes</t>
  </si>
  <si>
    <t>Total Reserved Bits</t>
  </si>
  <si>
    <t>Unmapped Bits</t>
  </si>
  <si>
    <t>Palette Entries</t>
  </si>
  <si>
    <t>Palette Page Bytes</t>
  </si>
  <si>
    <t>Character Index Bits</t>
  </si>
  <si>
    <t>Total Characters Per Page</t>
  </si>
  <si>
    <t>Total Bytes for Palettes</t>
  </si>
  <si>
    <t>Bit per flash Pattern</t>
  </si>
  <si>
    <t>Color Bit Depth</t>
  </si>
  <si>
    <t>Current Character Page</t>
  </si>
  <si>
    <t>Character Bit Width</t>
  </si>
  <si>
    <t>Character Bit Height</t>
  </si>
  <si>
    <t>Bits per Character</t>
  </si>
  <si>
    <t>Different Characters</t>
  </si>
  <si>
    <t>Bytes per Character</t>
  </si>
  <si>
    <t>Character Map Size in Bytes</t>
  </si>
  <si>
    <t>Character Map</t>
  </si>
  <si>
    <t>Character Map Bytes</t>
  </si>
  <si>
    <t>Total Flash Pattern Bytes</t>
  </si>
  <si>
    <t>Total Character Map bytes</t>
  </si>
  <si>
    <t>Max Allowed</t>
  </si>
  <si>
    <t>Unused Bytes</t>
  </si>
  <si>
    <t>Required Block RAMs</t>
  </si>
  <si>
    <t>Block RAM Size Bits</t>
  </si>
  <si>
    <t>Block RAM Size Bytes</t>
  </si>
  <si>
    <t>Palette Bit Depth</t>
  </si>
  <si>
    <t>1110</t>
  </si>
  <si>
    <t>1101</t>
  </si>
  <si>
    <t>1011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</si>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</sst>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9">
    <xf numFmtId="0" fontId="0" fillId="0" borderId="0" xfId="0"/>
    <xf numFmtId="0" fontId="2" fillId="2" borderId="1" xfId="2"/>
    <xf numFmtId="0" fontId="3" fillId="3" borderId="1" xfId="3"/>
    <xf numFmtId="0" fontId="0" fillId="0" borderId="0" xfId="0" applyAlignment="1"/>
    <xf numFmtId="0" fontId="0" fillId="0" borderId="0" xfId="0" quotePrefix="1"/>
    <xf numFmtId="0" fontId="0" fillId="4" borderId="0" xfId="0" applyFill="1"/>
    <xf numFmtId="43" fontId="0" fillId="0" borderId="0" xfId="1" applyFont="1"/>
    <xf numFmtId="0" fontId="0" fillId="0" borderId="0" xfId="0" applyAlignment="1">
      <alignment horizontal="center"/>
    </xf>
    <xf numFmtId="43" fontId="0" fillId="0" borderId="0" xfId="0" applyNumberFormat="1"/>
  </cellXfs>
  <cellStyles count="4">
    <cellStyle name="Calculation" xfId="3" builtinId="22"/>
    <cellStyle name="Comma" xfId="1" builtinId="3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E6D6-C1E1-4EB9-9C2E-0F0AF7640C71}">
  <dimension ref="A1:Z36"/>
  <sheetViews>
    <sheetView workbookViewId="0">
      <selection activeCell="A13" sqref="A13"/>
    </sheetView>
  </sheetViews>
  <sheetFormatPr defaultRowHeight="15" x14ac:dyDescent="0.25"/>
  <cols>
    <col min="2" max="2" width="28.7109375" bestFit="1" customWidth="1"/>
    <col min="3" max="3" width="3.28515625" style="5" customWidth="1"/>
    <col min="4" max="4" width="3.28515625" customWidth="1"/>
    <col min="5" max="5" width="21.7109375" bestFit="1" customWidth="1"/>
    <col min="6" max="6" width="3.28515625" customWidth="1"/>
    <col min="7" max="7" width="3.28515625" style="5" customWidth="1"/>
    <col min="8" max="8" width="6" bestFit="1" customWidth="1"/>
    <col min="9" max="9" width="28" bestFit="1" customWidth="1"/>
    <col min="10" max="10" width="3" bestFit="1" customWidth="1"/>
    <col min="11" max="11" width="32.28515625" bestFit="1" customWidth="1"/>
    <col min="12" max="12" width="3" bestFit="1" customWidth="1"/>
    <col min="13" max="13" width="2" bestFit="1" customWidth="1"/>
    <col min="14" max="14" width="18.140625" bestFit="1" customWidth="1"/>
    <col min="15" max="15" width="3.28515625" customWidth="1"/>
    <col min="16" max="16" width="3.28515625" style="5" customWidth="1"/>
    <col min="17" max="17" width="3" bestFit="1" customWidth="1"/>
    <col min="18" max="18" width="17.7109375" bestFit="1" customWidth="1"/>
    <col min="19" max="19" width="2" bestFit="1" customWidth="1"/>
    <col min="20" max="20" width="18.140625" bestFit="1" customWidth="1"/>
    <col min="21" max="21" width="3" bestFit="1" customWidth="1"/>
    <col min="22" max="22" width="3.28515625" style="5" customWidth="1"/>
    <col min="23" max="23" width="7" bestFit="1" customWidth="1"/>
    <col min="24" max="24" width="25.7109375" bestFit="1" customWidth="1"/>
    <col min="25" max="25" width="3.140625" customWidth="1"/>
    <col min="26" max="26" width="3.28515625" style="5" customWidth="1"/>
  </cols>
  <sheetData>
    <row r="1" spans="1:25" x14ac:dyDescent="0.25">
      <c r="A1" s="7" t="s">
        <v>27</v>
      </c>
      <c r="B1" s="7"/>
      <c r="D1" s="7" t="s">
        <v>8</v>
      </c>
      <c r="E1" s="7"/>
      <c r="F1" s="7"/>
      <c r="H1" s="7" t="s">
        <v>11</v>
      </c>
      <c r="I1" s="7"/>
      <c r="J1" s="7" t="s">
        <v>13</v>
      </c>
      <c r="K1" s="7"/>
      <c r="L1" s="7"/>
      <c r="M1" s="7" t="s">
        <v>22</v>
      </c>
      <c r="N1" s="7"/>
      <c r="Q1" s="7" t="s">
        <v>12</v>
      </c>
      <c r="R1" s="7"/>
      <c r="S1" s="7" t="s">
        <v>14</v>
      </c>
      <c r="T1" s="7"/>
      <c r="U1" s="7"/>
      <c r="W1" s="7" t="s">
        <v>52</v>
      </c>
      <c r="X1" s="7"/>
      <c r="Y1" s="7"/>
    </row>
    <row r="2" spans="1:25" x14ac:dyDescent="0.25">
      <c r="A2" s="2">
        <f>A14+A24+A28+A35+A10</f>
        <v>12159</v>
      </c>
      <c r="B2" t="s">
        <v>35</v>
      </c>
      <c r="D2" s="2">
        <f>CEILING(LOG(A12,2),1)</f>
        <v>1</v>
      </c>
      <c r="E2" t="s">
        <v>45</v>
      </c>
      <c r="H2" s="2">
        <f>A16</f>
        <v>60</v>
      </c>
      <c r="I2" t="s">
        <v>0</v>
      </c>
      <c r="J2" s="2">
        <f>CEILING(LOG(H2,2),1)</f>
        <v>6</v>
      </c>
      <c r="K2" t="s">
        <v>3</v>
      </c>
      <c r="M2" s="2">
        <f>A20</f>
        <v>4</v>
      </c>
      <c r="N2" t="s">
        <v>23</v>
      </c>
      <c r="Q2" s="2">
        <f>CEILING(SUM(S:S)/8,1)</f>
        <v>2</v>
      </c>
      <c r="R2" t="s">
        <v>20</v>
      </c>
      <c r="S2" s="2">
        <f>A21</f>
        <v>4</v>
      </c>
      <c r="T2" t="s">
        <v>15</v>
      </c>
      <c r="W2" s="2">
        <f>A31</f>
        <v>8</v>
      </c>
      <c r="X2" t="str">
        <f>B31</f>
        <v>Character Bit Width</v>
      </c>
    </row>
    <row r="3" spans="1:25" x14ac:dyDescent="0.25">
      <c r="A3" s="2">
        <f>A8*A7</f>
        <v>13824</v>
      </c>
      <c r="B3" t="s">
        <v>56</v>
      </c>
      <c r="H3" s="2">
        <f>A17</f>
        <v>33</v>
      </c>
      <c r="I3" t="s">
        <v>1</v>
      </c>
      <c r="J3" s="2">
        <f>CEILING(LOG(H3,2),1)</f>
        <v>6</v>
      </c>
      <c r="K3" t="s">
        <v>4</v>
      </c>
      <c r="M3" s="2">
        <f>A20</f>
        <v>4</v>
      </c>
      <c r="N3" t="s">
        <v>24</v>
      </c>
      <c r="Q3" s="2">
        <f>POWER(2,A20)</f>
        <v>16</v>
      </c>
      <c r="R3" t="s">
        <v>38</v>
      </c>
      <c r="S3" s="2">
        <f>A21</f>
        <v>4</v>
      </c>
      <c r="T3" t="s">
        <v>16</v>
      </c>
      <c r="W3" s="2">
        <f>A32</f>
        <v>8</v>
      </c>
      <c r="X3" t="str">
        <f>B32</f>
        <v>Character Bit Height</v>
      </c>
    </row>
    <row r="4" spans="1:25" x14ac:dyDescent="0.25">
      <c r="A4" s="2">
        <f>A3-A2</f>
        <v>1665</v>
      </c>
      <c r="B4" t="s">
        <v>57</v>
      </c>
      <c r="H4" s="2">
        <f>CEILING(SUM(M:M)/8,1)</f>
        <v>2</v>
      </c>
      <c r="I4" t="s">
        <v>2</v>
      </c>
      <c r="J4" s="2">
        <f>CEILING(LOG(A27,2),1)</f>
        <v>2</v>
      </c>
      <c r="K4" t="s">
        <v>19</v>
      </c>
      <c r="M4" s="2">
        <f>A30</f>
        <v>8</v>
      </c>
      <c r="N4" t="s">
        <v>25</v>
      </c>
      <c r="Q4" s="2">
        <f>Q3*Q2</f>
        <v>32</v>
      </c>
      <c r="R4" t="s">
        <v>39</v>
      </c>
      <c r="S4" s="2">
        <f>A21</f>
        <v>4</v>
      </c>
      <c r="T4" t="s">
        <v>17</v>
      </c>
      <c r="W4" s="2">
        <f>A32*A31</f>
        <v>64</v>
      </c>
      <c r="X4" t="s">
        <v>48</v>
      </c>
    </row>
    <row r="5" spans="1:25" x14ac:dyDescent="0.25">
      <c r="A5">
        <f>A6/4</f>
        <v>9216</v>
      </c>
      <c r="H5" s="2">
        <f>H2*H3*H4</f>
        <v>3960</v>
      </c>
      <c r="I5" t="s">
        <v>9</v>
      </c>
      <c r="J5" s="2">
        <f>H4*8</f>
        <v>16</v>
      </c>
      <c r="K5" t="s">
        <v>6</v>
      </c>
      <c r="S5" s="2">
        <f>CEILING(LOG(A27,2),1)</f>
        <v>2</v>
      </c>
      <c r="T5" t="s">
        <v>18</v>
      </c>
      <c r="W5" s="2">
        <f>POWER(2,A30)</f>
        <v>256</v>
      </c>
      <c r="X5" t="s">
        <v>49</v>
      </c>
    </row>
    <row r="6" spans="1:25" x14ac:dyDescent="0.25">
      <c r="A6" s="1">
        <f>36*1024</f>
        <v>36864</v>
      </c>
      <c r="B6" t="s">
        <v>59</v>
      </c>
      <c r="H6" s="2">
        <f>L34</f>
        <v>5</v>
      </c>
      <c r="I6" s="3" t="s">
        <v>7</v>
      </c>
      <c r="J6" s="2">
        <f>CEILING(LOG(A33,2),1)</f>
        <v>1</v>
      </c>
      <c r="K6" t="s">
        <v>21</v>
      </c>
      <c r="L6" s="4" t="s">
        <v>31</v>
      </c>
      <c r="M6" s="4"/>
      <c r="N6" s="4"/>
      <c r="W6" s="2">
        <f>CEILING(W4/8,1)</f>
        <v>8</v>
      </c>
      <c r="X6" t="s">
        <v>50</v>
      </c>
    </row>
    <row r="7" spans="1:25" x14ac:dyDescent="0.25">
      <c r="A7" s="2">
        <f>A6/8</f>
        <v>4608</v>
      </c>
      <c r="B7" t="s">
        <v>60</v>
      </c>
      <c r="H7" s="2">
        <f>H5+H6</f>
        <v>3965</v>
      </c>
      <c r="I7" t="s">
        <v>5</v>
      </c>
      <c r="J7" s="2">
        <f>CEILING(LOG(A22,2),1)</f>
        <v>2</v>
      </c>
      <c r="K7" t="s">
        <v>10</v>
      </c>
      <c r="L7" s="4" t="s">
        <v>31</v>
      </c>
      <c r="M7" s="4"/>
      <c r="N7" s="4"/>
      <c r="W7" s="2">
        <f>W5*W6</f>
        <v>2048</v>
      </c>
      <c r="X7" t="s">
        <v>51</v>
      </c>
    </row>
    <row r="8" spans="1:25" x14ac:dyDescent="0.25">
      <c r="A8" s="2">
        <f>CEILING(A2/A7,1)</f>
        <v>3</v>
      </c>
      <c r="B8" t="s">
        <v>58</v>
      </c>
      <c r="M8" s="4"/>
      <c r="N8" s="4"/>
    </row>
    <row r="9" spans="1:25" x14ac:dyDescent="0.25">
      <c r="M9" s="4"/>
      <c r="N9" s="4"/>
    </row>
    <row r="10" spans="1:25" x14ac:dyDescent="0.25">
      <c r="A10" s="2">
        <f>F33</f>
        <v>1</v>
      </c>
      <c r="B10" t="s">
        <v>7</v>
      </c>
      <c r="M10" s="4"/>
      <c r="N10" s="4"/>
    </row>
    <row r="11" spans="1:25" x14ac:dyDescent="0.25">
      <c r="M11" s="4"/>
      <c r="N11" s="4"/>
    </row>
    <row r="12" spans="1:25" x14ac:dyDescent="0.25">
      <c r="A12" s="1">
        <v>2</v>
      </c>
      <c r="B12" t="s">
        <v>26</v>
      </c>
    </row>
    <row r="13" spans="1:25" x14ac:dyDescent="0.25">
      <c r="A13" s="2">
        <f>H7</f>
        <v>3965</v>
      </c>
      <c r="B13" t="str">
        <f>I7</f>
        <v>Character Page Size Bytes</v>
      </c>
    </row>
    <row r="14" spans="1:25" x14ac:dyDescent="0.25">
      <c r="A14" s="2">
        <f>A13*A12</f>
        <v>7930</v>
      </c>
      <c r="B14" t="s">
        <v>28</v>
      </c>
    </row>
    <row r="15" spans="1:25" x14ac:dyDescent="0.25">
      <c r="E15">
        <v>8</v>
      </c>
    </row>
    <row r="16" spans="1:25" x14ac:dyDescent="0.25">
      <c r="A16" s="1">
        <v>60</v>
      </c>
      <c r="B16" t="s">
        <v>0</v>
      </c>
      <c r="E16">
        <v>8</v>
      </c>
    </row>
    <row r="17" spans="1:5" x14ac:dyDescent="0.25">
      <c r="A17" s="1">
        <v>33</v>
      </c>
      <c r="B17" t="s">
        <v>1</v>
      </c>
      <c r="E17">
        <f>E15*E16</f>
        <v>64</v>
      </c>
    </row>
    <row r="18" spans="1:5" x14ac:dyDescent="0.25">
      <c r="A18" s="2">
        <f>A16*A17</f>
        <v>1980</v>
      </c>
      <c r="B18" t="s">
        <v>41</v>
      </c>
      <c r="E18" s="6">
        <f>E17*256</f>
        <v>16384</v>
      </c>
    </row>
    <row r="20" spans="1:5" x14ac:dyDescent="0.25">
      <c r="A20" s="1">
        <v>4</v>
      </c>
      <c r="B20" t="s">
        <v>44</v>
      </c>
    </row>
    <row r="21" spans="1:5" x14ac:dyDescent="0.25">
      <c r="A21" s="1">
        <v>4</v>
      </c>
      <c r="B21" t="s">
        <v>61</v>
      </c>
    </row>
    <row r="22" spans="1:5" x14ac:dyDescent="0.25">
      <c r="A22" s="1">
        <v>4</v>
      </c>
      <c r="B22" t="s">
        <v>29</v>
      </c>
    </row>
    <row r="23" spans="1:5" x14ac:dyDescent="0.25">
      <c r="A23" s="2">
        <f>Q4</f>
        <v>32</v>
      </c>
      <c r="B23" t="str">
        <f>R4</f>
        <v>Palette Page Bytes</v>
      </c>
      <c r="E23" s="6"/>
    </row>
    <row r="24" spans="1:5" x14ac:dyDescent="0.25">
      <c r="A24" s="2">
        <f>A23*A22</f>
        <v>128</v>
      </c>
      <c r="B24" t="s">
        <v>42</v>
      </c>
    </row>
    <row r="26" spans="1:5" x14ac:dyDescent="0.25">
      <c r="A26" s="1">
        <v>8</v>
      </c>
      <c r="B26" t="s">
        <v>43</v>
      </c>
    </row>
    <row r="27" spans="1:5" x14ac:dyDescent="0.25">
      <c r="A27" s="1">
        <v>4</v>
      </c>
      <c r="B27" t="s">
        <v>30</v>
      </c>
    </row>
    <row r="28" spans="1:5" x14ac:dyDescent="0.25">
      <c r="A28" s="2">
        <f>A27*A26/8</f>
        <v>4</v>
      </c>
      <c r="B28" t="s">
        <v>54</v>
      </c>
    </row>
    <row r="30" spans="1:5" x14ac:dyDescent="0.25">
      <c r="A30" s="1">
        <v>8</v>
      </c>
      <c r="B30" t="s">
        <v>40</v>
      </c>
    </row>
    <row r="31" spans="1:5" x14ac:dyDescent="0.25">
      <c r="A31" s="1">
        <v>8</v>
      </c>
      <c r="B31" t="s">
        <v>46</v>
      </c>
    </row>
    <row r="32" spans="1:5" x14ac:dyDescent="0.25">
      <c r="A32" s="1">
        <v>8</v>
      </c>
      <c r="B32" t="s">
        <v>47</v>
      </c>
    </row>
    <row r="33" spans="1:21" x14ac:dyDescent="0.25">
      <c r="A33" s="1">
        <v>2</v>
      </c>
      <c r="B33" t="s">
        <v>32</v>
      </c>
      <c r="E33" t="s">
        <v>33</v>
      </c>
      <c r="F33" s="2">
        <f>SUM(D:D)</f>
        <v>1</v>
      </c>
      <c r="K33" t="s">
        <v>33</v>
      </c>
      <c r="L33" s="2">
        <f>SUM(J:J)</f>
        <v>33</v>
      </c>
      <c r="N33" t="s">
        <v>33</v>
      </c>
      <c r="O33" s="2">
        <f>SUM(M:M)</f>
        <v>16</v>
      </c>
      <c r="T33" t="s">
        <v>33</v>
      </c>
      <c r="U33" s="2">
        <f>SUM(S:S)</f>
        <v>14</v>
      </c>
    </row>
    <row r="34" spans="1:21" x14ac:dyDescent="0.25">
      <c r="A34" s="2">
        <f>W7</f>
        <v>2048</v>
      </c>
      <c r="B34" t="s">
        <v>53</v>
      </c>
      <c r="E34" t="s">
        <v>34</v>
      </c>
      <c r="F34" s="2">
        <f>CEILING(F33/8,1)</f>
        <v>1</v>
      </c>
      <c r="K34" t="s">
        <v>34</v>
      </c>
      <c r="L34" s="2">
        <f>CEILING(L33/8,1)</f>
        <v>5</v>
      </c>
      <c r="N34" t="s">
        <v>34</v>
      </c>
      <c r="O34" s="2">
        <f>CEILING(O33/8,1)</f>
        <v>2</v>
      </c>
      <c r="T34" t="s">
        <v>34</v>
      </c>
      <c r="U34" s="2">
        <f>CEILING(U33/8,1)</f>
        <v>2</v>
      </c>
    </row>
    <row r="35" spans="1:21" x14ac:dyDescent="0.25">
      <c r="A35" s="2">
        <f>A34*A33</f>
        <v>4096</v>
      </c>
      <c r="B35" t="s">
        <v>55</v>
      </c>
      <c r="E35" t="s">
        <v>36</v>
      </c>
      <c r="F35" s="2">
        <f>F34*8</f>
        <v>8</v>
      </c>
      <c r="K35" t="s">
        <v>36</v>
      </c>
      <c r="L35" s="2">
        <f>L34*8</f>
        <v>40</v>
      </c>
      <c r="N35" t="s">
        <v>36</v>
      </c>
      <c r="O35" s="2">
        <f>O34*8</f>
        <v>16</v>
      </c>
      <c r="T35" t="s">
        <v>36</v>
      </c>
      <c r="U35" s="2">
        <f>U34*8</f>
        <v>16</v>
      </c>
    </row>
    <row r="36" spans="1:21" x14ac:dyDescent="0.25">
      <c r="E36" t="s">
        <v>37</v>
      </c>
      <c r="F36" s="2">
        <f>F35-F33</f>
        <v>7</v>
      </c>
      <c r="K36" t="s">
        <v>37</v>
      </c>
      <c r="L36" s="2">
        <f>L35-L33</f>
        <v>7</v>
      </c>
      <c r="N36" t="s">
        <v>37</v>
      </c>
      <c r="O36" s="2">
        <f>O35-O33</f>
        <v>0</v>
      </c>
      <c r="T36" t="s">
        <v>37</v>
      </c>
      <c r="U36" s="2">
        <f>U35-U33</f>
        <v>2</v>
      </c>
    </row>
  </sheetData>
  <mergeCells count="8">
    <mergeCell ref="W1:Y1"/>
    <mergeCell ref="H1:I1"/>
    <mergeCell ref="Q1:R1"/>
    <mergeCell ref="M1:N1"/>
    <mergeCell ref="A1:B1"/>
    <mergeCell ref="S1:U1"/>
    <mergeCell ref="J1:L1"/>
    <mergeCell ref="D1:F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47AC-CFCF-4D97-AB24-F0DE8CEE51E8}">
  <dimension ref="A1:F5"/>
  <sheetViews>
    <sheetView tabSelected="1" workbookViewId="0">
      <selection activeCell="F6" sqref="F6"/>
    </sheetView>
  </sheetViews>
  <sheetFormatPr defaultRowHeight="15" x14ac:dyDescent="0.25"/>
  <cols>
    <col min="6" max="6" width="13.28515625" bestFit="1" customWidth="1"/>
  </cols>
  <sheetData>
    <row r="1" spans="1:6" x14ac:dyDescent="0.25">
      <c r="A1">
        <v>8192</v>
      </c>
      <c r="E1">
        <v>60</v>
      </c>
      <c r="F1">
        <f>E1*8</f>
        <v>480</v>
      </c>
    </row>
    <row r="2" spans="1:6" x14ac:dyDescent="0.25">
      <c r="A2">
        <f>60*33*2</f>
        <v>3960</v>
      </c>
      <c r="E2">
        <v>33</v>
      </c>
      <c r="F2">
        <f>E2*8</f>
        <v>264</v>
      </c>
    </row>
    <row r="3" spans="1:6" x14ac:dyDescent="0.25">
      <c r="A3">
        <f>A2*2</f>
        <v>7920</v>
      </c>
      <c r="E3">
        <f>E1*E2</f>
        <v>1980</v>
      </c>
      <c r="F3">
        <f>F1*F2</f>
        <v>126720</v>
      </c>
    </row>
    <row r="4" spans="1:6" x14ac:dyDescent="0.25">
      <c r="F4" s="6">
        <f>F3*12</f>
        <v>1520640</v>
      </c>
    </row>
    <row r="5" spans="1:6" x14ac:dyDescent="0.25">
      <c r="F5" s="8">
        <f>F4/8</f>
        <v>190080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7324-1D36-41E7-8FF3-529050A9C7E3}">
  <dimension ref="A1:Z36"/>
  <sheetViews>
    <sheetView workbookViewId="0">
      <selection activeCell="K5" sqref="J5:K5"/>
    </sheetView>
  </sheetViews>
  <sheetFormatPr defaultRowHeight="15" x14ac:dyDescent="0.25"/>
  <cols>
    <col min="2" max="2" width="28.7109375" bestFit="1" customWidth="1"/>
    <col min="3" max="3" width="3.28515625" style="5" customWidth="1"/>
    <col min="4" max="4" width="3.28515625" customWidth="1"/>
    <col min="5" max="5" width="21.7109375" bestFit="1" customWidth="1"/>
    <col min="6" max="6" width="3.28515625" customWidth="1"/>
    <col min="7" max="7" width="3.28515625" style="5" customWidth="1"/>
    <col min="8" max="8" width="6" bestFit="1" customWidth="1"/>
    <col min="9" max="9" width="28" bestFit="1" customWidth="1"/>
    <col min="10" max="10" width="3" bestFit="1" customWidth="1"/>
    <col min="11" max="11" width="32.28515625" bestFit="1" customWidth="1"/>
    <col min="12" max="12" width="3" bestFit="1" customWidth="1"/>
    <col min="13" max="13" width="2" bestFit="1" customWidth="1"/>
    <col min="14" max="14" width="18.140625" bestFit="1" customWidth="1"/>
    <col min="15" max="15" width="3.28515625" customWidth="1"/>
    <col min="16" max="16" width="3.28515625" style="5" customWidth="1"/>
    <col min="17" max="17" width="3" bestFit="1" customWidth="1"/>
    <col min="18" max="18" width="17.7109375" bestFit="1" customWidth="1"/>
    <col min="19" max="19" width="2" bestFit="1" customWidth="1"/>
    <col min="20" max="20" width="18.140625" bestFit="1" customWidth="1"/>
    <col min="21" max="21" width="3" bestFit="1" customWidth="1"/>
    <col min="22" max="22" width="3.28515625" style="5" customWidth="1"/>
    <col min="23" max="23" width="7" bestFit="1" customWidth="1"/>
    <col min="24" max="24" width="25.7109375" bestFit="1" customWidth="1"/>
    <col min="25" max="25" width="3.140625" customWidth="1"/>
    <col min="26" max="26" width="3.28515625" style="5" customWidth="1"/>
  </cols>
  <sheetData>
    <row r="1" spans="1:25" x14ac:dyDescent="0.25">
      <c r="A1" s="7" t="s">
        <v>27</v>
      </c>
      <c r="B1" s="7"/>
      <c r="D1" s="7" t="s">
        <v>8</v>
      </c>
      <c r="E1" s="7"/>
      <c r="F1" s="7"/>
      <c r="H1" s="7" t="s">
        <v>11</v>
      </c>
      <c r="I1" s="7"/>
      <c r="J1" s="7" t="s">
        <v>13</v>
      </c>
      <c r="K1" s="7"/>
      <c r="L1" s="7"/>
      <c r="M1" s="7" t="s">
        <v>22</v>
      </c>
      <c r="N1" s="7"/>
      <c r="Q1" s="7" t="s">
        <v>12</v>
      </c>
      <c r="R1" s="7"/>
      <c r="S1" s="7" t="s">
        <v>14</v>
      </c>
      <c r="T1" s="7"/>
      <c r="U1" s="7"/>
      <c r="W1" s="7" t="s">
        <v>52</v>
      </c>
      <c r="X1" s="7"/>
      <c r="Y1" s="7"/>
    </row>
    <row r="2" spans="1:25" x14ac:dyDescent="0.25">
      <c r="A2" s="2">
        <f>A14+A24+A28+A35+A10</f>
        <v>4120</v>
      </c>
      <c r="B2" t="s">
        <v>35</v>
      </c>
      <c r="D2" s="2">
        <f>CEILING(LOG(A12,2),1)</f>
        <v>0</v>
      </c>
      <c r="E2" t="s">
        <v>45</v>
      </c>
      <c r="H2" s="2">
        <f>A16</f>
        <v>40</v>
      </c>
      <c r="I2" t="s">
        <v>0</v>
      </c>
      <c r="J2" s="2">
        <f>CEILING(LOG(H2,2),1)</f>
        <v>6</v>
      </c>
      <c r="K2" t="s">
        <v>3</v>
      </c>
      <c r="M2" s="2">
        <f>A20</f>
        <v>4</v>
      </c>
      <c r="N2" t="s">
        <v>23</v>
      </c>
      <c r="Q2" s="2">
        <f>CEILING(SUM(S:S)/8,1)</f>
        <v>2</v>
      </c>
      <c r="R2" t="s">
        <v>20</v>
      </c>
      <c r="S2" s="2">
        <f>A21</f>
        <v>4</v>
      </c>
      <c r="T2" t="s">
        <v>15</v>
      </c>
      <c r="W2" s="2">
        <f>A31</f>
        <v>8</v>
      </c>
      <c r="X2" t="str">
        <f>B31</f>
        <v>Character Bit Width</v>
      </c>
    </row>
    <row r="3" spans="1:25" x14ac:dyDescent="0.25">
      <c r="A3" s="2">
        <f>A8*A7</f>
        <v>4608</v>
      </c>
      <c r="B3" t="s">
        <v>56</v>
      </c>
      <c r="H3" s="2">
        <f>A17</f>
        <v>25</v>
      </c>
      <c r="I3" t="s">
        <v>1</v>
      </c>
      <c r="J3" s="2">
        <f>CEILING(LOG(H3,2),1)</f>
        <v>5</v>
      </c>
      <c r="K3" t="s">
        <v>4</v>
      </c>
      <c r="M3" s="2">
        <f>A20</f>
        <v>4</v>
      </c>
      <c r="N3" t="s">
        <v>24</v>
      </c>
      <c r="Q3" s="2">
        <f>POWER(2,A20)</f>
        <v>16</v>
      </c>
      <c r="R3" t="s">
        <v>38</v>
      </c>
      <c r="S3" s="2">
        <f>A21</f>
        <v>4</v>
      </c>
      <c r="T3" t="s">
        <v>16</v>
      </c>
      <c r="W3" s="2">
        <f>A32</f>
        <v>8</v>
      </c>
      <c r="X3" t="str">
        <f>B32</f>
        <v>Character Bit Height</v>
      </c>
    </row>
    <row r="4" spans="1:25" x14ac:dyDescent="0.25">
      <c r="A4" s="2">
        <f>A3-A2</f>
        <v>488</v>
      </c>
      <c r="B4" t="s">
        <v>57</v>
      </c>
      <c r="H4" s="2">
        <f>CEILING(SUM(M:M)/8,1)</f>
        <v>2</v>
      </c>
      <c r="I4" t="s">
        <v>2</v>
      </c>
      <c r="J4" s="2">
        <f>CEILING(LOG(A27,2),1)</f>
        <v>2</v>
      </c>
      <c r="K4" t="s">
        <v>19</v>
      </c>
      <c r="M4" s="2">
        <f>A30</f>
        <v>8</v>
      </c>
      <c r="N4" t="s">
        <v>25</v>
      </c>
      <c r="Q4" s="2">
        <f>Q3*Q2</f>
        <v>32</v>
      </c>
      <c r="R4" t="s">
        <v>39</v>
      </c>
      <c r="S4" s="2">
        <f>A21</f>
        <v>4</v>
      </c>
      <c r="T4" t="s">
        <v>17</v>
      </c>
      <c r="W4" s="2">
        <f>A32*A31</f>
        <v>64</v>
      </c>
      <c r="X4" t="s">
        <v>48</v>
      </c>
    </row>
    <row r="5" spans="1:25" x14ac:dyDescent="0.25">
      <c r="H5" s="2">
        <f>H2*H3*H4</f>
        <v>2000</v>
      </c>
      <c r="I5" t="s">
        <v>9</v>
      </c>
      <c r="J5" s="2">
        <f>H4*8</f>
        <v>16</v>
      </c>
      <c r="K5" t="s">
        <v>6</v>
      </c>
      <c r="S5" s="2">
        <f>CEILING(LOG(A27,2),1)</f>
        <v>2</v>
      </c>
      <c r="T5" t="s">
        <v>18</v>
      </c>
      <c r="W5" s="2">
        <f>POWER(2,A30)</f>
        <v>256</v>
      </c>
      <c r="X5" t="s">
        <v>49</v>
      </c>
    </row>
    <row r="6" spans="1:25" x14ac:dyDescent="0.25">
      <c r="A6" s="1">
        <f>36*1024</f>
        <v>36864</v>
      </c>
      <c r="B6" t="s">
        <v>59</v>
      </c>
      <c r="H6" s="2">
        <f>L34</f>
        <v>4</v>
      </c>
      <c r="I6" s="3" t="s">
        <v>7</v>
      </c>
      <c r="J6" s="2">
        <f>CEILING(LOG(A33,2),1)</f>
        <v>0</v>
      </c>
      <c r="K6" t="s">
        <v>21</v>
      </c>
      <c r="L6" s="4" t="s">
        <v>31</v>
      </c>
      <c r="M6" s="4"/>
      <c r="N6" s="4"/>
      <c r="W6" s="2">
        <f>CEILING(W4/8,1)</f>
        <v>8</v>
      </c>
      <c r="X6" t="s">
        <v>50</v>
      </c>
    </row>
    <row r="7" spans="1:25" x14ac:dyDescent="0.25">
      <c r="A7" s="2">
        <f>A6/8</f>
        <v>4608</v>
      </c>
      <c r="B7" t="s">
        <v>60</v>
      </c>
      <c r="H7" s="2">
        <f>H5+H6</f>
        <v>2004</v>
      </c>
      <c r="I7" t="s">
        <v>5</v>
      </c>
      <c r="J7" s="2">
        <f>CEILING(LOG(A22,2),1)</f>
        <v>1</v>
      </c>
      <c r="K7" t="s">
        <v>10</v>
      </c>
      <c r="L7" s="4" t="s">
        <v>31</v>
      </c>
      <c r="M7" s="4"/>
      <c r="N7" s="4"/>
      <c r="W7" s="2">
        <f>W5*W6</f>
        <v>2048</v>
      </c>
      <c r="X7" t="s">
        <v>51</v>
      </c>
    </row>
    <row r="8" spans="1:25" x14ac:dyDescent="0.25">
      <c r="A8" s="2">
        <f>CEILING(A2/A7,1)</f>
        <v>1</v>
      </c>
      <c r="B8" t="s">
        <v>58</v>
      </c>
      <c r="M8" s="4"/>
      <c r="N8" s="4"/>
    </row>
    <row r="9" spans="1:25" x14ac:dyDescent="0.25">
      <c r="M9" s="4"/>
      <c r="N9" s="4"/>
    </row>
    <row r="10" spans="1:25" x14ac:dyDescent="0.25">
      <c r="A10" s="2">
        <f>F33</f>
        <v>0</v>
      </c>
      <c r="B10" t="s">
        <v>7</v>
      </c>
      <c r="M10" s="4"/>
      <c r="N10" s="4"/>
    </row>
    <row r="11" spans="1:25" x14ac:dyDescent="0.25">
      <c r="M11" s="4"/>
      <c r="N11" s="4"/>
    </row>
    <row r="12" spans="1:25" x14ac:dyDescent="0.25">
      <c r="A12" s="1">
        <v>1</v>
      </c>
      <c r="B12" t="s">
        <v>26</v>
      </c>
    </row>
    <row r="13" spans="1:25" x14ac:dyDescent="0.25">
      <c r="A13" s="2">
        <f>H7</f>
        <v>2004</v>
      </c>
      <c r="B13" t="str">
        <f>I7</f>
        <v>Character Page Size Bytes</v>
      </c>
    </row>
    <row r="14" spans="1:25" x14ac:dyDescent="0.25">
      <c r="A14" s="2">
        <f>A13*A12</f>
        <v>2004</v>
      </c>
      <c r="B14" t="s">
        <v>28</v>
      </c>
    </row>
    <row r="15" spans="1:25" x14ac:dyDescent="0.25">
      <c r="E15">
        <v>8</v>
      </c>
    </row>
    <row r="16" spans="1:25" x14ac:dyDescent="0.25">
      <c r="A16" s="1">
        <v>40</v>
      </c>
      <c r="B16" t="s">
        <v>0</v>
      </c>
      <c r="E16">
        <v>8</v>
      </c>
    </row>
    <row r="17" spans="1:5" x14ac:dyDescent="0.25">
      <c r="A17" s="1">
        <v>25</v>
      </c>
      <c r="B17" t="s">
        <v>1</v>
      </c>
      <c r="E17">
        <f>E15*E16</f>
        <v>64</v>
      </c>
    </row>
    <row r="18" spans="1:5" x14ac:dyDescent="0.25">
      <c r="A18" s="2">
        <f>A16*A17</f>
        <v>1000</v>
      </c>
      <c r="B18" t="s">
        <v>41</v>
      </c>
      <c r="E18" s="6">
        <f>E17*256</f>
        <v>16384</v>
      </c>
    </row>
    <row r="20" spans="1:5" x14ac:dyDescent="0.25">
      <c r="A20" s="1">
        <v>4</v>
      </c>
      <c r="B20" t="s">
        <v>44</v>
      </c>
    </row>
    <row r="21" spans="1:5" x14ac:dyDescent="0.25">
      <c r="A21" s="1">
        <v>4</v>
      </c>
      <c r="B21" t="s">
        <v>61</v>
      </c>
    </row>
    <row r="22" spans="1:5" x14ac:dyDescent="0.25">
      <c r="A22" s="1">
        <v>2</v>
      </c>
      <c r="B22" t="s">
        <v>29</v>
      </c>
    </row>
    <row r="23" spans="1:5" x14ac:dyDescent="0.25">
      <c r="A23" s="2">
        <f>Q4</f>
        <v>32</v>
      </c>
      <c r="B23" t="str">
        <f>R4</f>
        <v>Palette Page Bytes</v>
      </c>
      <c r="E23" s="6"/>
    </row>
    <row r="24" spans="1:5" x14ac:dyDescent="0.25">
      <c r="A24" s="2">
        <f>A23*A22</f>
        <v>64</v>
      </c>
      <c r="B24" t="s">
        <v>42</v>
      </c>
    </row>
    <row r="26" spans="1:5" x14ac:dyDescent="0.25">
      <c r="A26" s="1">
        <v>8</v>
      </c>
      <c r="B26" t="s">
        <v>43</v>
      </c>
    </row>
    <row r="27" spans="1:5" x14ac:dyDescent="0.25">
      <c r="A27" s="1">
        <v>4</v>
      </c>
      <c r="B27" t="s">
        <v>30</v>
      </c>
    </row>
    <row r="28" spans="1:5" x14ac:dyDescent="0.25">
      <c r="A28" s="2">
        <f>A27*A26/8</f>
        <v>4</v>
      </c>
      <c r="B28" t="s">
        <v>54</v>
      </c>
    </row>
    <row r="30" spans="1:5" x14ac:dyDescent="0.25">
      <c r="A30" s="1">
        <v>8</v>
      </c>
      <c r="B30" t="s">
        <v>40</v>
      </c>
    </row>
    <row r="31" spans="1:5" x14ac:dyDescent="0.25">
      <c r="A31" s="1">
        <v>8</v>
      </c>
      <c r="B31" t="s">
        <v>46</v>
      </c>
    </row>
    <row r="32" spans="1:5" x14ac:dyDescent="0.25">
      <c r="A32" s="1">
        <v>8</v>
      </c>
      <c r="B32" t="s">
        <v>47</v>
      </c>
    </row>
    <row r="33" spans="1:21" x14ac:dyDescent="0.25">
      <c r="A33" s="1">
        <v>1</v>
      </c>
      <c r="B33" t="s">
        <v>32</v>
      </c>
      <c r="E33" t="s">
        <v>33</v>
      </c>
      <c r="F33" s="2">
        <f>SUM(D:D)</f>
        <v>0</v>
      </c>
      <c r="K33" t="s">
        <v>33</v>
      </c>
      <c r="L33" s="2">
        <f>SUM(J:J)</f>
        <v>30</v>
      </c>
      <c r="N33" t="s">
        <v>33</v>
      </c>
      <c r="O33" s="2">
        <f>SUM(M:M)</f>
        <v>16</v>
      </c>
      <c r="T33" t="s">
        <v>33</v>
      </c>
      <c r="U33" s="2">
        <f>SUM(S:S)</f>
        <v>14</v>
      </c>
    </row>
    <row r="34" spans="1:21" x14ac:dyDescent="0.25">
      <c r="A34" s="2">
        <f>W7</f>
        <v>2048</v>
      </c>
      <c r="B34" t="s">
        <v>53</v>
      </c>
      <c r="E34" t="s">
        <v>34</v>
      </c>
      <c r="F34" s="2">
        <f>CEILING(F33/8,1)</f>
        <v>0</v>
      </c>
      <c r="K34" t="s">
        <v>34</v>
      </c>
      <c r="L34" s="2">
        <f>CEILING(L33/8,1)</f>
        <v>4</v>
      </c>
      <c r="N34" t="s">
        <v>34</v>
      </c>
      <c r="O34" s="2">
        <f>CEILING(O33/8,1)</f>
        <v>2</v>
      </c>
      <c r="T34" t="s">
        <v>34</v>
      </c>
      <c r="U34" s="2">
        <f>CEILING(U33/8,1)</f>
        <v>2</v>
      </c>
    </row>
    <row r="35" spans="1:21" x14ac:dyDescent="0.25">
      <c r="A35" s="2">
        <f>A34*A33</f>
        <v>2048</v>
      </c>
      <c r="B35" t="s">
        <v>55</v>
      </c>
      <c r="E35" t="s">
        <v>36</v>
      </c>
      <c r="F35" s="2">
        <f>F34*8</f>
        <v>0</v>
      </c>
      <c r="K35" t="s">
        <v>36</v>
      </c>
      <c r="L35" s="2">
        <f>L34*8</f>
        <v>32</v>
      </c>
      <c r="N35" t="s">
        <v>36</v>
      </c>
      <c r="O35" s="2">
        <f>O34*8</f>
        <v>16</v>
      </c>
      <c r="T35" t="s">
        <v>36</v>
      </c>
      <c r="U35" s="2">
        <f>U34*8</f>
        <v>16</v>
      </c>
    </row>
    <row r="36" spans="1:21" x14ac:dyDescent="0.25">
      <c r="E36" t="s">
        <v>37</v>
      </c>
      <c r="F36" s="2">
        <f>F35-F33</f>
        <v>0</v>
      </c>
      <c r="K36" t="s">
        <v>37</v>
      </c>
      <c r="L36" s="2">
        <f>L35-L33</f>
        <v>2</v>
      </c>
      <c r="N36" t="s">
        <v>37</v>
      </c>
      <c r="O36" s="2">
        <f>O35-O33</f>
        <v>0</v>
      </c>
      <c r="T36" t="s">
        <v>37</v>
      </c>
      <c r="U36" s="2">
        <f>U35-U33</f>
        <v>2</v>
      </c>
    </row>
  </sheetData>
  <mergeCells count="8">
    <mergeCell ref="S1:U1"/>
    <mergeCell ref="W1:Y1"/>
    <mergeCell ref="A1:B1"/>
    <mergeCell ref="D1:F1"/>
    <mergeCell ref="H1:I1"/>
    <mergeCell ref="J1:L1"/>
    <mergeCell ref="M1:N1"/>
    <mergeCell ref="Q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DC2F-DCF8-4663-A8B5-EEC25B8A7B96}">
  <dimension ref="A1:S5"/>
  <sheetViews>
    <sheetView workbookViewId="0">
      <selection activeCell="S3" sqref="S3"/>
    </sheetView>
  </sheetViews>
  <sheetFormatPr defaultRowHeight="15" x14ac:dyDescent="0.25"/>
  <sheetData>
    <row r="1" spans="1:19" x14ac:dyDescent="0.25">
      <c r="A1">
        <v>1920</v>
      </c>
      <c r="B1">
        <v>60</v>
      </c>
      <c r="G1" s="4" t="s">
        <v>62</v>
      </c>
      <c r="H1">
        <f>BIN2DEC(G1)</f>
        <v>14</v>
      </c>
      <c r="I1">
        <f>15-H1</f>
        <v>1</v>
      </c>
      <c r="J1">
        <f>LOG(I1,2)</f>
        <v>0</v>
      </c>
      <c r="K1">
        <f>POWER(2,J1)</f>
        <v>1</v>
      </c>
      <c r="M1">
        <v>60</v>
      </c>
      <c r="N1">
        <v>33</v>
      </c>
      <c r="O1">
        <v>2</v>
      </c>
      <c r="P1">
        <v>4</v>
      </c>
      <c r="Q1">
        <f>M1*N1</f>
        <v>1980</v>
      </c>
      <c r="R1">
        <f>Q1*O1</f>
        <v>3960</v>
      </c>
      <c r="S1">
        <f>Q1*P1</f>
        <v>7920</v>
      </c>
    </row>
    <row r="2" spans="1:19" x14ac:dyDescent="0.25">
      <c r="A2">
        <v>12</v>
      </c>
      <c r="B2">
        <v>33</v>
      </c>
      <c r="G2" s="4" t="s">
        <v>63</v>
      </c>
      <c r="H2">
        <f t="shared" ref="H2:H4" si="0">BIN2DEC(G2)</f>
        <v>13</v>
      </c>
      <c r="I2">
        <f t="shared" ref="I2:I4" si="1">15-H2</f>
        <v>2</v>
      </c>
      <c r="J2">
        <f t="shared" ref="J2:J4" si="2">LOG(I2,2)</f>
        <v>1</v>
      </c>
      <c r="K2">
        <f t="shared" ref="K2:K4" si="3">POWER(2,J2)</f>
        <v>2</v>
      </c>
      <c r="S2">
        <f>S1+8</f>
        <v>7928</v>
      </c>
    </row>
    <row r="3" spans="1:19" x14ac:dyDescent="0.25">
      <c r="A3">
        <f>A1*A2</f>
        <v>23040</v>
      </c>
      <c r="B3">
        <v>16</v>
      </c>
      <c r="G3" s="4" t="s">
        <v>64</v>
      </c>
      <c r="H3">
        <f t="shared" si="0"/>
        <v>11</v>
      </c>
      <c r="I3">
        <f t="shared" si="1"/>
        <v>4</v>
      </c>
      <c r="J3">
        <f t="shared" si="2"/>
        <v>2</v>
      </c>
      <c r="K3">
        <f t="shared" si="3"/>
        <v>4</v>
      </c>
      <c r="S3">
        <f>LOG(S2,2)</f>
        <v>12.95274124718649</v>
      </c>
    </row>
    <row r="4" spans="1:19" x14ac:dyDescent="0.25">
      <c r="A4">
        <f>A3/8</f>
        <v>2880</v>
      </c>
      <c r="B4">
        <f>B3*B2*B1</f>
        <v>31680</v>
      </c>
      <c r="G4" s="4" t="s">
        <v>65</v>
      </c>
      <c r="H4">
        <f t="shared" si="0"/>
        <v>7</v>
      </c>
      <c r="I4">
        <f t="shared" si="1"/>
        <v>8</v>
      </c>
      <c r="J4">
        <f t="shared" si="2"/>
        <v>3</v>
      </c>
      <c r="K4">
        <f t="shared" si="3"/>
        <v>8</v>
      </c>
      <c r="S4">
        <f>CEILING(S3,1)</f>
        <v>13</v>
      </c>
    </row>
    <row r="5" spans="1:19" x14ac:dyDescent="0.25">
      <c r="B5">
        <f>B4/4</f>
        <v>7920</v>
      </c>
      <c r="S5">
        <f>POWER(2,S4)</f>
        <v>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 60x33 4bit 8x8</vt:lpstr>
      <vt:lpstr>Sheet2</vt:lpstr>
      <vt:lpstr>T 40x25 4bit 8x8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Whited</dc:creator>
  <cp:lastModifiedBy>Matthew Whited</cp:lastModifiedBy>
  <dcterms:created xsi:type="dcterms:W3CDTF">2021-03-05T14:01:34Z</dcterms:created>
  <dcterms:modified xsi:type="dcterms:W3CDTF">2021-03-29T12:22:36Z</dcterms:modified>
</cp:coreProperties>
</file>