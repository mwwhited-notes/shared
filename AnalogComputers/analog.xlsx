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notes\Cadwell\other\"/>
    </mc:Choice>
  </mc:AlternateContent>
  <xr:revisionPtr revIDLastSave="0" documentId="13_ncr:1_{0746A21F-B03F-40D0-95E5-FA9C245E8724}" xr6:coauthVersionLast="47" xr6:coauthVersionMax="47" xr10:uidLastSave="{00000000-0000-0000-0000-000000000000}"/>
  <bookViews>
    <workbookView xWindow="-28260" yWindow="1500" windowWidth="21600" windowHeight="11295" activeTab="1" xr2:uid="{9DDE7F4F-87FE-4A7F-A215-C95637B31BE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E2" i="2"/>
  <c r="D2" i="2"/>
  <c r="F2" i="2"/>
  <c r="B2" i="2"/>
  <c r="C3" i="2"/>
  <c r="C4" i="2" s="1"/>
  <c r="A4" i="2" s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4" i="2" l="1"/>
  <c r="E4" i="2"/>
  <c r="D4" i="2"/>
  <c r="A3" i="2"/>
  <c r="C5" i="2"/>
  <c r="A5" i="2" s="1"/>
  <c r="B4" i="2"/>
  <c r="K1" i="1"/>
  <c r="F3" i="2" l="1"/>
  <c r="E3" i="2"/>
  <c r="D3" i="2"/>
  <c r="B3" i="2"/>
  <c r="F5" i="2"/>
  <c r="D5" i="2"/>
  <c r="E5" i="2"/>
  <c r="C6" i="2"/>
  <c r="A6" i="2" s="1"/>
  <c r="B5" i="2"/>
  <c r="M1" i="1"/>
  <c r="K2" i="1"/>
  <c r="F6" i="2" l="1"/>
  <c r="E6" i="2"/>
  <c r="D6" i="2"/>
  <c r="C7" i="2"/>
  <c r="A7" i="2" s="1"/>
  <c r="B6" i="2"/>
  <c r="F7" i="2" l="1"/>
  <c r="D7" i="2"/>
  <c r="E7" i="2"/>
  <c r="C8" i="2"/>
  <c r="A8" i="2" s="1"/>
  <c r="B7" i="2"/>
  <c r="F8" i="2" l="1"/>
  <c r="D8" i="2"/>
  <c r="E8" i="2"/>
  <c r="C9" i="2"/>
  <c r="A9" i="2" s="1"/>
  <c r="B8" i="2"/>
  <c r="E9" i="2" l="1"/>
  <c r="F9" i="2"/>
  <c r="D9" i="2"/>
  <c r="C10" i="2"/>
  <c r="A10" i="2" s="1"/>
  <c r="B9" i="2"/>
  <c r="E10" i="2" l="1"/>
  <c r="F10" i="2"/>
  <c r="D10" i="2"/>
  <c r="C11" i="2"/>
  <c r="A11" i="2" s="1"/>
  <c r="B10" i="2"/>
  <c r="F11" i="2" l="1"/>
  <c r="E11" i="2"/>
  <c r="D11" i="2"/>
  <c r="C12" i="2"/>
  <c r="A12" i="2" s="1"/>
  <c r="B11" i="2"/>
  <c r="D12" i="2" l="1"/>
  <c r="F12" i="2"/>
  <c r="E12" i="2"/>
  <c r="C13" i="2"/>
  <c r="A13" i="2" s="1"/>
  <c r="B12" i="2"/>
  <c r="D13" i="2" l="1"/>
  <c r="E13" i="2"/>
  <c r="F13" i="2"/>
  <c r="C14" i="2"/>
  <c r="B13" i="2"/>
  <c r="A14" i="2" l="1"/>
  <c r="D14" i="2" l="1"/>
  <c r="F14" i="2"/>
  <c r="E14" i="2"/>
  <c r="B14" i="2"/>
</calcChain>
</file>

<file path=xl/sharedStrings.xml><?xml version="1.0" encoding="utf-8"?>
<sst xmlns="http://schemas.openxmlformats.org/spreadsheetml/2006/main" count="52" uniqueCount="33">
  <si>
    <t>log</t>
  </si>
  <si>
    <t>antilog</t>
  </si>
  <si>
    <t>follow</t>
  </si>
  <si>
    <t>invert</t>
  </si>
  <si>
    <t>out</t>
  </si>
  <si>
    <t>total</t>
  </si>
  <si>
    <t>count</t>
  </si>
  <si>
    <t>summer</t>
  </si>
  <si>
    <t>function</t>
  </si>
  <si>
    <t>board</t>
  </si>
  <si>
    <t>matt's</t>
  </si>
  <si>
    <t>THAT</t>
  </si>
  <si>
    <t>integrator</t>
  </si>
  <si>
    <t>sj</t>
  </si>
  <si>
    <t>ic</t>
  </si>
  <si>
    <t>in 10</t>
  </si>
  <si>
    <t>in 1</t>
  </si>
  <si>
    <t>inverter</t>
  </si>
  <si>
    <t>fb</t>
  </si>
  <si>
    <t>XIR</t>
  </si>
  <si>
    <t>multiplier</t>
  </si>
  <si>
    <t>comparator</t>
  </si>
  <si>
    <t>c100p</t>
  </si>
  <si>
    <t>c100n</t>
  </si>
  <si>
    <t>diode</t>
  </si>
  <si>
    <t>zener</t>
  </si>
  <si>
    <t>machine unit</t>
  </si>
  <si>
    <t>Degrees</t>
  </si>
  <si>
    <t>Radians [MU]</t>
  </si>
  <si>
    <t>Radians [Pi]</t>
  </si>
  <si>
    <t>Sine</t>
  </si>
  <si>
    <t>Cosine</t>
  </si>
  <si>
    <t>Hyperbolic Tangent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</si>
</sst>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Radians [MU]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Sheet2!$C$2:$C$14</c:f>
              <c:numCache>
                <c:formatCode>General</c:formatCode>
                <c:ptCount val="13"/>
                <c:pt idx="0">
                  <c:v>-1</c:v>
                </c:pt>
                <c:pt idx="1">
                  <c:v>-0.83333333333333337</c:v>
                </c:pt>
                <c:pt idx="2">
                  <c:v>-0.66666666666666674</c:v>
                </c:pt>
                <c:pt idx="3">
                  <c:v>-0.50000000000000011</c:v>
                </c:pt>
                <c:pt idx="4">
                  <c:v>-0.33333333333333348</c:v>
                </c:pt>
                <c:pt idx="5">
                  <c:v>-0.16666666666666682</c:v>
                </c:pt>
                <c:pt idx="6">
                  <c:v>0</c:v>
                </c:pt>
                <c:pt idx="7">
                  <c:v>0.16666666666666666</c:v>
                </c:pt>
                <c:pt idx="8">
                  <c:v>0.33333333333333331</c:v>
                </c:pt>
                <c:pt idx="9">
                  <c:v>0.5</c:v>
                </c:pt>
                <c:pt idx="10">
                  <c:v>0.66666666666666663</c:v>
                </c:pt>
                <c:pt idx="11">
                  <c:v>0.83333333333333326</c:v>
                </c:pt>
                <c:pt idx="12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F-43E8-B0CC-DAC3B0E4B979}"/>
            </c:ext>
          </c:extLst>
        </c:ser>
        <c:ser>
          <c:idx val="1"/>
          <c:order val="1"/>
          <c:tx>
            <c:strRef>
              <c:f>Sheet2!#REF!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F-43E8-B0CC-DAC3B0E4B979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Sine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Sheet2!$D$2:$D$14</c:f>
              <c:numCache>
                <c:formatCode>General</c:formatCode>
                <c:ptCount val="13"/>
                <c:pt idx="0">
                  <c:v>-1.22514845490862E-16</c:v>
                </c:pt>
                <c:pt idx="1">
                  <c:v>-0.49999999999999994</c:v>
                </c:pt>
                <c:pt idx="2">
                  <c:v>-0.86602540378443849</c:v>
                </c:pt>
                <c:pt idx="3">
                  <c:v>-1</c:v>
                </c:pt>
                <c:pt idx="4">
                  <c:v>-0.86602540378443882</c:v>
                </c:pt>
                <c:pt idx="5">
                  <c:v>-0.50000000000000044</c:v>
                </c:pt>
                <c:pt idx="6">
                  <c:v>0</c:v>
                </c:pt>
                <c:pt idx="7">
                  <c:v>0.49999999999999994</c:v>
                </c:pt>
                <c:pt idx="8">
                  <c:v>0.8660254037844386</c:v>
                </c:pt>
                <c:pt idx="9">
                  <c:v>1</c:v>
                </c:pt>
                <c:pt idx="10">
                  <c:v>0.86602540378443871</c:v>
                </c:pt>
                <c:pt idx="11">
                  <c:v>0.50000000000000033</c:v>
                </c:pt>
                <c:pt idx="12">
                  <c:v>5.6660405534092462E-16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5F-43E8-B0CC-DAC3B0E4B979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Cosine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Sheet2!$E$2:$E$14</c:f>
              <c:numCache>
                <c:formatCode>General</c:formatCode>
                <c:ptCount val="13"/>
                <c:pt idx="0">
                  <c:v>-1</c:v>
                </c:pt>
                <c:pt idx="1">
                  <c:v>-0.86602540378443871</c:v>
                </c:pt>
                <c:pt idx="2">
                  <c:v>-0.50000000000000022</c:v>
                </c:pt>
                <c:pt idx="3">
                  <c:v>-3.8283178710463162E-16</c:v>
                </c:pt>
                <c:pt idx="4">
                  <c:v>0.49999999999999972</c:v>
                </c:pt>
                <c:pt idx="5">
                  <c:v>0.86602540378443837</c:v>
                </c:pt>
                <c:pt idx="6">
                  <c:v>1</c:v>
                </c:pt>
                <c:pt idx="7">
                  <c:v>0.86602540378443871</c:v>
                </c:pt>
                <c:pt idx="8">
                  <c:v>0.50000000000000011</c:v>
                </c:pt>
                <c:pt idx="9">
                  <c:v>6.1257422745431001E-17</c:v>
                </c:pt>
                <c:pt idx="10">
                  <c:v>-0.49999999999999978</c:v>
                </c:pt>
                <c:pt idx="11">
                  <c:v>-0.86602540378443849</c:v>
                </c:pt>
                <c:pt idx="12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5F-43E8-B0CC-DAC3B0E4B979}"/>
            </c:ext>
          </c:extLst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Hyperbolic Tangent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Sheet2!$F$2:$F$14</c:f>
              <c:numCache>
                <c:formatCode>General</c:formatCode>
                <c:ptCount val="13"/>
                <c:pt idx="0">
                  <c:v>-0.99627207622075009</c:v>
                </c:pt>
                <c:pt idx="1">
                  <c:v>-0.98941320735268201</c:v>
                </c:pt>
                <c:pt idx="2">
                  <c:v>-0.97012382116593077</c:v>
                </c:pt>
                <c:pt idx="3">
                  <c:v>-0.91715233566727439</c:v>
                </c:pt>
                <c:pt idx="4">
                  <c:v>-0.78071443535926777</c:v>
                </c:pt>
                <c:pt idx="5">
                  <c:v>-0.4804727781564519</c:v>
                </c:pt>
                <c:pt idx="6">
                  <c:v>0</c:v>
                </c:pt>
                <c:pt idx="7">
                  <c:v>0.48047277815645162</c:v>
                </c:pt>
                <c:pt idx="8">
                  <c:v>0.78071443535926766</c:v>
                </c:pt>
                <c:pt idx="9">
                  <c:v>0.91715233566727439</c:v>
                </c:pt>
                <c:pt idx="10">
                  <c:v>0.97012382116593077</c:v>
                </c:pt>
                <c:pt idx="11">
                  <c:v>0.98941320735268201</c:v>
                </c:pt>
                <c:pt idx="12">
                  <c:v>0.99627207622075009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5F-43E8-B0CC-DAC3B0E4B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765616"/>
        <c:axId val="1768766096"/>
      </c:lineChart>
      <c:catAx>
        <c:axId val="1768765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66096"/>
        <c:crosses val="autoZero"/>
        <c:auto val="1"/>
        <c:lblAlgn val="ctr"/>
        <c:lblOffset val="100"/>
        <c:noMultiLvlLbl val="0"/>
      </c:catAx>
      <c:valAx>
        <c:axId val="176876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1066800</xdr:colOff>
      <xdr:row>0</xdr:row>
      <xdr:rowOff>185737</xdr:rowOff>
    </xdr:from>
    <xdr:to>
      <xdr:col>13</xdr:col>
      <xdr:colOff>600075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6E25C3-45F7-ED74-072E-06C608957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D680A-536C-4B10-9F13-61720F6D6F8A}" name="Table1" displayName="Table1" ref="A1:F14" totalsRowShown="0">
  <autoFilter ref="A1:F14" xr:uid="{C19D680A-536C-4B10-9F13-61720F6D6F8A}"/>
  <tableColumns count="6">
    <tableColumn id="2" xr3:uid="{ADBD9450-D88A-461D-931D-5F5754E47BD9}" name="Radians [Pi]" dataDxfId="0">
      <calculatedColumnFormula>C2*PI()</calculatedColumnFormula>
    </tableColumn>
    <tableColumn id="3" xr3:uid="{E8CFB664-4F90-4BFC-98F3-B8153FDF89B8}" name="Degrees">
      <calculatedColumnFormula>DEGREES(A2)</calculatedColumnFormula>
    </tableColumn>
    <tableColumn id="1" xr3:uid="{96CE5EE1-E076-4F16-812F-6914E399F8EB}" name="Radians [MU]">
      <calculatedColumnFormula>C1+(2/12)</calculatedColumnFormula>
    </tableColumn>
    <tableColumn id="5" xr3:uid="{0D2F04AA-AD97-4B0D-9713-9E9F2F78EAAD}" name="Sine" dataDxfId="2">
      <calculatedColumnFormula>SIN(Table1[[#This Row],[Radians '[Pi']]])</calculatedColumnFormula>
    </tableColumn>
    <tableColumn id="6" xr3:uid="{9DF6C9FF-BA39-4D34-A081-BF3A3AA06647}" name="Cosine" dataDxfId="1">
      <calculatedColumnFormula>COS(Table1[[#This Row],[Radians '[Pi']]])</calculatedColumnFormula>
    </tableColumn>
    <tableColumn id="7" xr3:uid="{D93F1B27-B603-44B6-AD09-4A59020A4127}" name="Hyperbolic Tangent" dataDxfId="3">
      <calculatedColumnFormula>TANH(Table1[[#This Row],[Radians '[Pi']]])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0279-AFDB-4C80-9E0C-86741675EF9B}">
  <dimension ref="A1:M19"/>
  <sheetViews>
    <sheetView workbookViewId="0">
      <selection activeCell="V23" sqref="V23"/>
    </sheetView>
  </sheetViews>
  <sheetFormatPr defaultRowHeight="15" x14ac:dyDescent="0.25"/>
  <cols>
    <col min="2" max="2" width="12.5703125" bestFit="1" customWidth="1"/>
  </cols>
  <sheetData>
    <row r="1" spans="1:13" x14ac:dyDescent="0.25">
      <c r="A1" t="s">
        <v>9</v>
      </c>
      <c r="B1" t="s">
        <v>8</v>
      </c>
      <c r="C1" t="s">
        <v>6</v>
      </c>
      <c r="D1" t="s">
        <v>16</v>
      </c>
      <c r="E1" t="s">
        <v>15</v>
      </c>
      <c r="F1" t="s">
        <v>18</v>
      </c>
      <c r="G1" t="s">
        <v>4</v>
      </c>
      <c r="H1" t="s">
        <v>13</v>
      </c>
      <c r="I1" t="s">
        <v>14</v>
      </c>
      <c r="J1" t="s">
        <v>5</v>
      </c>
      <c r="K1">
        <f>SUM(J:J)</f>
        <v>295</v>
      </c>
      <c r="L1">
        <v>200</v>
      </c>
      <c r="M1">
        <f>L1-K1</f>
        <v>-95</v>
      </c>
    </row>
    <row r="2" spans="1:13" x14ac:dyDescent="0.25">
      <c r="A2" t="s">
        <v>10</v>
      </c>
      <c r="B2" t="s">
        <v>0</v>
      </c>
      <c r="C2">
        <v>12</v>
      </c>
      <c r="D2">
        <v>1</v>
      </c>
      <c r="G2">
        <v>1</v>
      </c>
      <c r="J2">
        <f>C2*SUM(D2:I2)</f>
        <v>24</v>
      </c>
      <c r="K2">
        <f>K1/40</f>
        <v>7.375</v>
      </c>
    </row>
    <row r="3" spans="1:13" x14ac:dyDescent="0.25">
      <c r="A3" t="s">
        <v>10</v>
      </c>
      <c r="B3" t="s">
        <v>1</v>
      </c>
      <c r="C3">
        <v>12</v>
      </c>
      <c r="D3">
        <v>1</v>
      </c>
      <c r="G3">
        <v>1</v>
      </c>
      <c r="J3">
        <f t="shared" ref="J3:J19" si="0">C3*SUM(D3:I3)</f>
        <v>24</v>
      </c>
    </row>
    <row r="4" spans="1:13" x14ac:dyDescent="0.25">
      <c r="A4" t="s">
        <v>10</v>
      </c>
      <c r="B4" t="s">
        <v>2</v>
      </c>
      <c r="C4">
        <v>12</v>
      </c>
      <c r="D4">
        <v>1</v>
      </c>
      <c r="G4">
        <v>1</v>
      </c>
      <c r="J4">
        <f t="shared" si="0"/>
        <v>24</v>
      </c>
    </row>
    <row r="5" spans="1:13" x14ac:dyDescent="0.25">
      <c r="A5" t="s">
        <v>10</v>
      </c>
      <c r="B5" t="s">
        <v>3</v>
      </c>
      <c r="C5">
        <v>12</v>
      </c>
      <c r="D5">
        <v>1</v>
      </c>
      <c r="G5">
        <v>1</v>
      </c>
      <c r="J5">
        <f t="shared" si="0"/>
        <v>24</v>
      </c>
    </row>
    <row r="6" spans="1:13" x14ac:dyDescent="0.25">
      <c r="A6" t="s">
        <v>10</v>
      </c>
      <c r="B6" t="s">
        <v>7</v>
      </c>
      <c r="C6">
        <v>2</v>
      </c>
      <c r="D6">
        <v>3</v>
      </c>
      <c r="G6">
        <v>1</v>
      </c>
      <c r="J6">
        <f t="shared" si="0"/>
        <v>8</v>
      </c>
    </row>
    <row r="7" spans="1:13" x14ac:dyDescent="0.25">
      <c r="A7" t="s">
        <v>10</v>
      </c>
      <c r="B7" t="s">
        <v>7</v>
      </c>
      <c r="C7">
        <v>2</v>
      </c>
      <c r="D7">
        <v>8</v>
      </c>
      <c r="G7">
        <v>1</v>
      </c>
      <c r="J7">
        <f t="shared" si="0"/>
        <v>18</v>
      </c>
    </row>
    <row r="8" spans="1:13" x14ac:dyDescent="0.25">
      <c r="A8" t="s">
        <v>10</v>
      </c>
      <c r="B8" t="s">
        <v>7</v>
      </c>
      <c r="C8">
        <v>4</v>
      </c>
      <c r="D8">
        <v>5</v>
      </c>
      <c r="G8">
        <v>1</v>
      </c>
      <c r="H8">
        <v>1</v>
      </c>
      <c r="J8">
        <f t="shared" si="0"/>
        <v>28</v>
      </c>
    </row>
    <row r="9" spans="1:13" x14ac:dyDescent="0.25">
      <c r="A9" t="s">
        <v>11</v>
      </c>
      <c r="B9" t="s">
        <v>12</v>
      </c>
      <c r="C9">
        <v>5</v>
      </c>
      <c r="D9">
        <v>3</v>
      </c>
      <c r="E9">
        <v>2</v>
      </c>
      <c r="G9">
        <v>1</v>
      </c>
      <c r="H9">
        <v>1</v>
      </c>
      <c r="I9">
        <v>1</v>
      </c>
      <c r="J9">
        <f t="shared" si="0"/>
        <v>40</v>
      </c>
    </row>
    <row r="10" spans="1:13" x14ac:dyDescent="0.25">
      <c r="A10" t="s">
        <v>11</v>
      </c>
      <c r="B10" t="s">
        <v>17</v>
      </c>
      <c r="C10">
        <v>4</v>
      </c>
      <c r="D10">
        <v>1</v>
      </c>
      <c r="G10">
        <v>1</v>
      </c>
      <c r="H10">
        <v>1</v>
      </c>
      <c r="J10">
        <f t="shared" si="0"/>
        <v>12</v>
      </c>
    </row>
    <row r="11" spans="1:13" x14ac:dyDescent="0.25">
      <c r="A11" t="s">
        <v>11</v>
      </c>
      <c r="B11" t="s">
        <v>7</v>
      </c>
      <c r="C11">
        <v>4</v>
      </c>
      <c r="D11">
        <v>4</v>
      </c>
      <c r="E11">
        <v>3</v>
      </c>
      <c r="F11">
        <v>1</v>
      </c>
      <c r="G11">
        <v>1</v>
      </c>
      <c r="H11">
        <v>1</v>
      </c>
      <c r="J11">
        <f t="shared" si="0"/>
        <v>40</v>
      </c>
    </row>
    <row r="12" spans="1:13" x14ac:dyDescent="0.25">
      <c r="A12" t="s">
        <v>11</v>
      </c>
      <c r="B12" t="s">
        <v>19</v>
      </c>
      <c r="C12">
        <v>2</v>
      </c>
      <c r="D12">
        <v>5</v>
      </c>
      <c r="H12">
        <v>1</v>
      </c>
      <c r="J12">
        <f t="shared" si="0"/>
        <v>12</v>
      </c>
    </row>
    <row r="13" spans="1:13" x14ac:dyDescent="0.25">
      <c r="A13" t="s">
        <v>11</v>
      </c>
      <c r="B13" t="s">
        <v>20</v>
      </c>
      <c r="C13">
        <v>2</v>
      </c>
      <c r="D13">
        <v>2</v>
      </c>
      <c r="G13">
        <v>1</v>
      </c>
      <c r="J13">
        <f t="shared" si="0"/>
        <v>6</v>
      </c>
    </row>
    <row r="14" spans="1:13" x14ac:dyDescent="0.25">
      <c r="A14" t="s">
        <v>11</v>
      </c>
      <c r="B14" t="s">
        <v>21</v>
      </c>
      <c r="C14">
        <v>2</v>
      </c>
      <c r="D14">
        <v>4</v>
      </c>
      <c r="G14">
        <v>1</v>
      </c>
      <c r="J14">
        <f t="shared" si="0"/>
        <v>10</v>
      </c>
    </row>
    <row r="15" spans="1:13" x14ac:dyDescent="0.25">
      <c r="A15" t="s">
        <v>11</v>
      </c>
      <c r="B15" t="s">
        <v>22</v>
      </c>
      <c r="C15">
        <v>3</v>
      </c>
      <c r="D15">
        <v>2</v>
      </c>
      <c r="J15">
        <f t="shared" si="0"/>
        <v>6</v>
      </c>
    </row>
    <row r="16" spans="1:13" x14ac:dyDescent="0.25">
      <c r="A16" t="s">
        <v>11</v>
      </c>
      <c r="B16" t="s">
        <v>23</v>
      </c>
      <c r="C16">
        <v>2</v>
      </c>
      <c r="D16">
        <v>2</v>
      </c>
      <c r="J16">
        <f t="shared" si="0"/>
        <v>4</v>
      </c>
    </row>
    <row r="17" spans="1:10" x14ac:dyDescent="0.25">
      <c r="A17" t="s">
        <v>11</v>
      </c>
      <c r="B17" t="s">
        <v>24</v>
      </c>
      <c r="C17">
        <v>4</v>
      </c>
      <c r="D17">
        <v>2</v>
      </c>
      <c r="J17">
        <f t="shared" si="0"/>
        <v>8</v>
      </c>
    </row>
    <row r="18" spans="1:10" x14ac:dyDescent="0.25">
      <c r="A18" t="s">
        <v>11</v>
      </c>
      <c r="B18" t="s">
        <v>25</v>
      </c>
      <c r="C18">
        <v>2</v>
      </c>
      <c r="D18">
        <v>2</v>
      </c>
      <c r="J18">
        <f t="shared" si="0"/>
        <v>4</v>
      </c>
    </row>
    <row r="19" spans="1:10" x14ac:dyDescent="0.25">
      <c r="A19" t="s">
        <v>11</v>
      </c>
      <c r="B19" t="s">
        <v>26</v>
      </c>
      <c r="C19">
        <v>3</v>
      </c>
      <c r="D19">
        <v>1</v>
      </c>
      <c r="J19">
        <f t="shared" si="0"/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FCF3-FF6A-420C-8F67-C37438EF59CB}">
  <dimension ref="A1:F14"/>
  <sheetViews>
    <sheetView tabSelected="1" workbookViewId="0">
      <selection activeCell="G1" sqref="G1:G1048576"/>
    </sheetView>
  </sheetViews>
  <sheetFormatPr defaultRowHeight="15" x14ac:dyDescent="0.25"/>
  <cols>
    <col min="1" max="1" width="13.7109375" bestFit="1" customWidth="1"/>
    <col min="2" max="2" width="10.5703125" bestFit="1" customWidth="1"/>
    <col min="3" max="3" width="15.42578125" bestFit="1" customWidth="1"/>
    <col min="4" max="5" width="12.7109375" bestFit="1" customWidth="1"/>
    <col min="6" max="7" width="20.7109375" bestFit="1" customWidth="1"/>
  </cols>
  <sheetData>
    <row r="1" spans="1:6" x14ac:dyDescent="0.25">
      <c r="A1" t="s">
        <v>29</v>
      </c>
      <c r="B1" t="s">
        <v>27</v>
      </c>
      <c r="C1" t="s">
        <v>28</v>
      </c>
      <c r="D1" t="s">
        <v>30</v>
      </c>
      <c r="E1" t="s">
        <v>31</v>
      </c>
      <c r="F1" t="s">
        <v>32</v>
      </c>
    </row>
    <row r="2" spans="1:6" x14ac:dyDescent="0.25">
      <c r="A2">
        <f>C2*PI()</f>
        <v>-3.1415926535897931</v>
      </c>
      <c r="B2">
        <f>DEGREES(A2)</f>
        <v>-180</v>
      </c>
      <c r="C2">
        <v>-1</v>
      </c>
      <c r="D2">
        <f>SIN(Table1[[#This Row],[Radians '[Pi']]])</f>
        <v>-1.22514845490862E-16</v>
      </c>
      <c r="E2">
        <f>COS(Table1[[#This Row],[Radians '[Pi']]])</f>
        <v>-1</v>
      </c>
      <c r="F2">
        <f>TANH(Table1[[#This Row],[Radians '[Pi']]])</f>
        <v>-0.99627207622075009</v>
      </c>
    </row>
    <row r="3" spans="1:6" x14ac:dyDescent="0.25">
      <c r="A3">
        <f>C3*PI()</f>
        <v>-2.6179938779914944</v>
      </c>
      <c r="B3">
        <f t="shared" ref="B3:B14" si="0">DEGREES(A3)</f>
        <v>-150</v>
      </c>
      <c r="C3">
        <f>C2+(2/12)</f>
        <v>-0.83333333333333337</v>
      </c>
      <c r="D3">
        <f>SIN(Table1[[#This Row],[Radians '[Pi']]])</f>
        <v>-0.49999999999999994</v>
      </c>
      <c r="E3">
        <f>COS(Table1[[#This Row],[Radians '[Pi']]])</f>
        <v>-0.86602540378443871</v>
      </c>
      <c r="F3">
        <f>TANH(Table1[[#This Row],[Radians '[Pi']]])</f>
        <v>-0.98941320735268201</v>
      </c>
    </row>
    <row r="4" spans="1:6" x14ac:dyDescent="0.25">
      <c r="A4">
        <f>C4*PI()</f>
        <v>-2.0943951023931957</v>
      </c>
      <c r="B4">
        <f t="shared" si="0"/>
        <v>-120.00000000000001</v>
      </c>
      <c r="C4">
        <f t="shared" ref="C4:C14" si="1">C3+(2/12)</f>
        <v>-0.66666666666666674</v>
      </c>
      <c r="D4">
        <f>SIN(Table1[[#This Row],[Radians '[Pi']]])</f>
        <v>-0.86602540378443849</v>
      </c>
      <c r="E4">
        <f>COS(Table1[[#This Row],[Radians '[Pi']]])</f>
        <v>-0.50000000000000022</v>
      </c>
      <c r="F4">
        <f>TANH(Table1[[#This Row],[Radians '[Pi']]])</f>
        <v>-0.97012382116593077</v>
      </c>
    </row>
    <row r="5" spans="1:6" x14ac:dyDescent="0.25">
      <c r="A5">
        <f>C5*PI()</f>
        <v>-1.570796326794897</v>
      </c>
      <c r="B5">
        <f t="shared" si="0"/>
        <v>-90.000000000000028</v>
      </c>
      <c r="C5">
        <f t="shared" si="1"/>
        <v>-0.50000000000000011</v>
      </c>
      <c r="D5">
        <f>SIN(Table1[[#This Row],[Radians '[Pi']]])</f>
        <v>-1</v>
      </c>
      <c r="E5">
        <f>COS(Table1[[#This Row],[Radians '[Pi']]])</f>
        <v>-3.8283178710463162E-16</v>
      </c>
      <c r="F5">
        <f>TANH(Table1[[#This Row],[Radians '[Pi']]])</f>
        <v>-0.91715233566727439</v>
      </c>
    </row>
    <row r="6" spans="1:6" x14ac:dyDescent="0.25">
      <c r="A6">
        <f>C6*PI()</f>
        <v>-1.0471975511965981</v>
      </c>
      <c r="B6">
        <f t="shared" si="0"/>
        <v>-60.000000000000021</v>
      </c>
      <c r="C6">
        <f t="shared" si="1"/>
        <v>-0.33333333333333348</v>
      </c>
      <c r="D6">
        <f>SIN(Table1[[#This Row],[Radians '[Pi']]])</f>
        <v>-0.86602540378443882</v>
      </c>
      <c r="E6">
        <f>COS(Table1[[#This Row],[Radians '[Pi']]])</f>
        <v>0.49999999999999972</v>
      </c>
      <c r="F6">
        <f>TANH(Table1[[#This Row],[Radians '[Pi']]])</f>
        <v>-0.78071443535926777</v>
      </c>
    </row>
    <row r="7" spans="1:6" x14ac:dyDescent="0.25">
      <c r="A7">
        <f>C7*PI()</f>
        <v>-0.52359877559829937</v>
      </c>
      <c r="B7">
        <f t="shared" si="0"/>
        <v>-30.000000000000028</v>
      </c>
      <c r="C7">
        <f t="shared" si="1"/>
        <v>-0.16666666666666682</v>
      </c>
      <c r="D7">
        <f>SIN(Table1[[#This Row],[Radians '[Pi']]])</f>
        <v>-0.50000000000000044</v>
      </c>
      <c r="E7">
        <f>COS(Table1[[#This Row],[Radians '[Pi']]])</f>
        <v>0.86602540378443837</v>
      </c>
      <c r="F7">
        <f>TANH(Table1[[#This Row],[Radians '[Pi']]])</f>
        <v>-0.4804727781564519</v>
      </c>
    </row>
    <row r="8" spans="1:6" x14ac:dyDescent="0.25">
      <c r="A8">
        <f>C8*PI()</f>
        <v>0</v>
      </c>
      <c r="B8">
        <f t="shared" si="0"/>
        <v>0</v>
      </c>
      <c r="C8">
        <f t="shared" si="1"/>
        <v>0</v>
      </c>
      <c r="D8">
        <f>SIN(Table1[[#This Row],[Radians '[Pi']]])</f>
        <v>0</v>
      </c>
      <c r="E8">
        <f>COS(Table1[[#This Row],[Radians '[Pi']]])</f>
        <v>1</v>
      </c>
      <c r="F8">
        <f>TANH(Table1[[#This Row],[Radians '[Pi']]])</f>
        <v>0</v>
      </c>
    </row>
    <row r="9" spans="1:6" x14ac:dyDescent="0.25">
      <c r="A9">
        <f>C9*PI()</f>
        <v>0.52359877559829882</v>
      </c>
      <c r="B9">
        <f t="shared" si="0"/>
        <v>29.999999999999996</v>
      </c>
      <c r="C9">
        <f t="shared" si="1"/>
        <v>0.16666666666666666</v>
      </c>
      <c r="D9">
        <f>SIN(Table1[[#This Row],[Radians '[Pi']]])</f>
        <v>0.49999999999999994</v>
      </c>
      <c r="E9">
        <f>COS(Table1[[#This Row],[Radians '[Pi']]])</f>
        <v>0.86602540378443871</v>
      </c>
      <c r="F9">
        <f>TANH(Table1[[#This Row],[Radians '[Pi']]])</f>
        <v>0.48047277815645162</v>
      </c>
    </row>
    <row r="10" spans="1:6" x14ac:dyDescent="0.25">
      <c r="A10">
        <f>C10*PI()</f>
        <v>1.0471975511965976</v>
      </c>
      <c r="B10">
        <f t="shared" si="0"/>
        <v>59.999999999999993</v>
      </c>
      <c r="C10">
        <f t="shared" si="1"/>
        <v>0.33333333333333331</v>
      </c>
      <c r="D10">
        <f>SIN(Table1[[#This Row],[Radians '[Pi']]])</f>
        <v>0.8660254037844386</v>
      </c>
      <c r="E10">
        <f>COS(Table1[[#This Row],[Radians '[Pi']]])</f>
        <v>0.50000000000000011</v>
      </c>
      <c r="F10">
        <f>TANH(Table1[[#This Row],[Radians '[Pi']]])</f>
        <v>0.78071443535926766</v>
      </c>
    </row>
    <row r="11" spans="1:6" x14ac:dyDescent="0.25">
      <c r="A11">
        <f>C11*PI()</f>
        <v>1.5707963267948966</v>
      </c>
      <c r="B11">
        <f t="shared" si="0"/>
        <v>90</v>
      </c>
      <c r="C11">
        <f t="shared" si="1"/>
        <v>0.5</v>
      </c>
      <c r="D11">
        <f>SIN(Table1[[#This Row],[Radians '[Pi']]])</f>
        <v>1</v>
      </c>
      <c r="E11">
        <f>COS(Table1[[#This Row],[Radians '[Pi']]])</f>
        <v>6.1257422745431001E-17</v>
      </c>
      <c r="F11">
        <f>TANH(Table1[[#This Row],[Radians '[Pi']]])</f>
        <v>0.91715233566727439</v>
      </c>
    </row>
    <row r="12" spans="1:6" x14ac:dyDescent="0.25">
      <c r="A12">
        <f>C12*PI()</f>
        <v>2.0943951023931953</v>
      </c>
      <c r="B12">
        <f t="shared" si="0"/>
        <v>119.99999999999999</v>
      </c>
      <c r="C12">
        <f t="shared" si="1"/>
        <v>0.66666666666666663</v>
      </c>
      <c r="D12">
        <f>SIN(Table1[[#This Row],[Radians '[Pi']]])</f>
        <v>0.86602540378443871</v>
      </c>
      <c r="E12">
        <f>COS(Table1[[#This Row],[Radians '[Pi']]])</f>
        <v>-0.49999999999999978</v>
      </c>
      <c r="F12">
        <f>TANH(Table1[[#This Row],[Radians '[Pi']]])</f>
        <v>0.97012382116593077</v>
      </c>
    </row>
    <row r="13" spans="1:6" x14ac:dyDescent="0.25">
      <c r="A13">
        <f>C13*PI()</f>
        <v>2.617993877991494</v>
      </c>
      <c r="B13">
        <f t="shared" si="0"/>
        <v>149.99999999999997</v>
      </c>
      <c r="C13">
        <f t="shared" si="1"/>
        <v>0.83333333333333326</v>
      </c>
      <c r="D13">
        <f>SIN(Table1[[#This Row],[Radians '[Pi']]])</f>
        <v>0.50000000000000033</v>
      </c>
      <c r="E13">
        <f>COS(Table1[[#This Row],[Radians '[Pi']]])</f>
        <v>-0.86602540378443849</v>
      </c>
      <c r="F13">
        <f>TANH(Table1[[#This Row],[Radians '[Pi']]])</f>
        <v>0.98941320735268201</v>
      </c>
    </row>
    <row r="14" spans="1:6" x14ac:dyDescent="0.25">
      <c r="A14">
        <f>C14*PI()</f>
        <v>3.1415926535897927</v>
      </c>
      <c r="B14">
        <f t="shared" si="0"/>
        <v>179.99999999999997</v>
      </c>
      <c r="C14">
        <f t="shared" si="1"/>
        <v>0.99999999999999989</v>
      </c>
      <c r="D14">
        <f>SIN(Table1[[#This Row],[Radians '[Pi']]])</f>
        <v>5.6660405534092462E-16</v>
      </c>
      <c r="E14">
        <f>COS(Table1[[#This Row],[Radians '[Pi']]])</f>
        <v>-1</v>
      </c>
      <c r="F14">
        <f>TANH(Table1[[#This Row],[Radians '[Pi']]])</f>
        <v>0.99627207622075009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Whited</dc:creator>
  <cp:lastModifiedBy>Matthew Whited</cp:lastModifiedBy>
  <dcterms:created xsi:type="dcterms:W3CDTF">2026-04-07T15:58:09Z</dcterms:created>
  <dcterms:modified xsi:type="dcterms:W3CDTF">2026-04-07T21:03:38Z</dcterms:modified>
</cp:coreProperties>
</file>