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notes\ERiskServices\other\"/>
    </mc:Choice>
  </mc:AlternateContent>
  <xr:revisionPtr revIDLastSave="0" documentId="13_ncr:1_{C3925973-02A3-4721-B737-EF80EE967A68}" xr6:coauthVersionLast="36" xr6:coauthVersionMax="36" xr10:uidLastSave="{00000000-0000-0000-0000-000000000000}"/>
  <bookViews>
    <workbookView xWindow="0" yWindow="0" windowWidth="28800" windowHeight="12105" xr2:uid="{9444F760-F7CF-4A8C-86D8-8067F93A8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23" i="1"/>
  <c r="C22" i="1"/>
  <c r="E21" i="1"/>
  <c r="E20" i="1"/>
  <c r="E22" i="1" s="1"/>
  <c r="E19" i="1"/>
  <c r="E18" i="1"/>
  <c r="K9" i="1"/>
  <c r="M9" i="1" s="1"/>
  <c r="O9" i="1" s="1"/>
  <c r="K8" i="1"/>
  <c r="M8" i="1" s="1"/>
  <c r="O8" i="1" s="1"/>
  <c r="K7" i="1"/>
  <c r="M7" i="1" s="1"/>
  <c r="O7" i="1" s="1"/>
  <c r="K6" i="1"/>
  <c r="M6" i="1"/>
  <c r="O6" i="1" s="1"/>
  <c r="E14" i="1"/>
  <c r="C14" i="1"/>
  <c r="E13" i="1"/>
  <c r="E11" i="1" s="1"/>
  <c r="E12" i="1"/>
  <c r="E10" i="1" s="1"/>
  <c r="K2" i="1"/>
  <c r="M2" i="1" s="1"/>
  <c r="O2" i="1" s="1"/>
  <c r="K3" i="1"/>
  <c r="M3" i="1" s="1"/>
  <c r="O3" i="1" s="1"/>
  <c r="K4" i="1"/>
  <c r="M4" i="1" s="1"/>
  <c r="O4" i="1" s="1"/>
  <c r="K5" i="1"/>
  <c r="M5" i="1" s="1"/>
  <c r="O5" i="1" s="1"/>
  <c r="C4" i="1"/>
  <c r="C6" i="1" s="1"/>
  <c r="Q5" i="1" l="1"/>
  <c r="Q9" i="1"/>
  <c r="Q6" i="1"/>
  <c r="Q4" i="1"/>
  <c r="Q8" i="1"/>
  <c r="Q7" i="1"/>
  <c r="Q3" i="1"/>
  <c r="Q2" i="1"/>
</calcChain>
</file>

<file path=xl/sharedStrings.xml><?xml version="1.0" encoding="utf-8"?>
<sst xmlns="http://schemas.openxmlformats.org/spreadsheetml/2006/main" count="64" uniqueCount="34">
  <si>
    <t>Mo</t>
  </si>
  <si>
    <t>Magnitication Objective</t>
  </si>
  <si>
    <t>NA</t>
  </si>
  <si>
    <t>Numerical Apperture</t>
  </si>
  <si>
    <t>Microscop Resolution</t>
  </si>
  <si>
    <t>light wavelength</t>
  </si>
  <si>
    <t>um</t>
  </si>
  <si>
    <t>d=l/2*NA)</t>
  </si>
  <si>
    <t>lamda</t>
  </si>
  <si>
    <t>required pixel</t>
  </si>
  <si>
    <t>P=(d*Mo*Ma)/2</t>
  </si>
  <si>
    <t>Ma</t>
  </si>
  <si>
    <t>Magnification Adapter</t>
  </si>
  <si>
    <t>l</t>
  </si>
  <si>
    <t>d</t>
  </si>
  <si>
    <t>P</t>
  </si>
  <si>
    <t>camera</t>
  </si>
  <si>
    <t>Width Pixels</t>
  </si>
  <si>
    <t>Height Pixels</t>
  </si>
  <si>
    <t>wP</t>
  </si>
  <si>
    <t>hP</t>
  </si>
  <si>
    <t>Width Sensor</t>
  </si>
  <si>
    <t>Heigh Sensor</t>
  </si>
  <si>
    <t>wS</t>
  </si>
  <si>
    <t>hS</t>
  </si>
  <si>
    <t>d800</t>
  </si>
  <si>
    <t>mm</t>
  </si>
  <si>
    <t>sMin</t>
  </si>
  <si>
    <t>Sensor Min</t>
  </si>
  <si>
    <t>z8</t>
  </si>
  <si>
    <t>Megapixel</t>
  </si>
  <si>
    <t>pMin</t>
  </si>
  <si>
    <t>Sensor Resolution</t>
  </si>
  <si>
    <t>Sub Sample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</si>
</sst>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40578-66DC-4826-A33B-6269B8ACD61F}" name="Table1" displayName="Table1" ref="H1:Q9" totalsRowShown="0">
  <autoFilter ref="H1:Q9" xr:uid="{CA4DBF75-1C63-4FB2-946C-A4992BBF7D1F}"/>
  <tableColumns count="10">
    <tableColumn id="1" xr3:uid="{0A58448F-5B1F-4325-AF00-37C79C0EF43C}" name="Mo"/>
    <tableColumn id="2" xr3:uid="{4120FF68-660F-4604-A3C9-90C8048CEA84}" name="NA"/>
    <tableColumn id="3" xr3:uid="{82D1AE7A-A1A7-4E5A-AAC8-1EC4C14E21B0}" name="l"/>
    <tableColumn id="4" xr3:uid="{2A7C8ECA-DE4A-48E9-AFDB-2F7C75B7A4FF}" name="d" dataDxfId="4">
      <calculatedColumnFormula>Table1[[#This Row],[l]]/(2*Table1[[#This Row],[NA]])</calculatedColumnFormula>
    </tableColumn>
    <tableColumn id="5" xr3:uid="{41841024-D77B-49E6-AD27-04B6BEDE41C3}" name="Ma"/>
    <tableColumn id="6" xr3:uid="{21459E4A-7CA5-46DF-83CD-5CA8EA44CF92}" name="P" dataDxfId="3">
      <calculatedColumnFormula>(Table1[[#This Row],[d]]*Table1[[#This Row],[Mo]]*Table1[[#This Row],[Ma]])/2</calculatedColumnFormula>
    </tableColumn>
    <tableColumn id="7" xr3:uid="{E37E48CD-2765-4BF9-8AC6-5E4A093D4B0E}" name="sMin"/>
    <tableColumn id="8" xr3:uid="{2DBA09F4-8974-476B-B507-A90969B4521E}" name="pMin" dataDxfId="2">
      <calculatedColumnFormula>Table1[[#This Row],[sMin]]/Table1[[#This Row],[P]]</calculatedColumnFormula>
    </tableColumn>
    <tableColumn id="9" xr3:uid="{5F1AF8EE-4E1E-4EA1-96A5-71F9D54CF5A8}" name="Sensor Resolution" dataDxfId="1"/>
    <tableColumn id="10" xr3:uid="{324FDABA-22E4-450F-8DBE-8A8D9FF114D4}" name="Sub Sample Resolution" dataDxfId="0">
      <calculatedColumnFormula>Table1[[#This Row],[P]]/Table1[[#This Row],[Sensor Resolution]]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353B-2E7A-4AA4-8A68-400DF5DCF6D2}">
  <dimension ref="A1:Q23"/>
  <sheetViews>
    <sheetView tabSelected="1" workbookViewId="0">
      <selection activeCell="K21" sqref="K21"/>
    </sheetView>
  </sheetViews>
  <sheetFormatPr defaultRowHeight="15" x14ac:dyDescent="0.25"/>
  <cols>
    <col min="1" max="1" width="20.28515625" bestFit="1" customWidth="1"/>
    <col min="2" max="2" width="22.5703125" bestFit="1" customWidth="1"/>
    <col min="6" max="6" width="6.28515625" bestFit="1" customWidth="1"/>
    <col min="7" max="7" width="6" bestFit="1" customWidth="1"/>
    <col min="8" max="8" width="6.28515625" bestFit="1" customWidth="1"/>
    <col min="9" max="9" width="12" bestFit="1" customWidth="1"/>
    <col min="10" max="10" width="6.140625" bestFit="1" customWidth="1"/>
    <col min="16" max="16" width="19.5703125" bestFit="1" customWidth="1"/>
    <col min="17" max="17" width="24" bestFit="1" customWidth="1"/>
  </cols>
  <sheetData>
    <row r="1" spans="1:17" x14ac:dyDescent="0.25">
      <c r="A1" t="s">
        <v>0</v>
      </c>
      <c r="B1" t="s">
        <v>1</v>
      </c>
      <c r="C1">
        <v>10</v>
      </c>
      <c r="H1" t="s">
        <v>0</v>
      </c>
      <c r="I1" t="s">
        <v>2</v>
      </c>
      <c r="J1" t="s">
        <v>13</v>
      </c>
      <c r="K1" t="s">
        <v>14</v>
      </c>
      <c r="L1" t="s">
        <v>11</v>
      </c>
      <c r="M1" t="s">
        <v>15</v>
      </c>
      <c r="N1" t="s">
        <v>27</v>
      </c>
      <c r="O1" t="s">
        <v>31</v>
      </c>
      <c r="P1" t="s">
        <v>32</v>
      </c>
      <c r="Q1" t="s">
        <v>33</v>
      </c>
    </row>
    <row r="2" spans="1:17" x14ac:dyDescent="0.25">
      <c r="A2" t="s">
        <v>2</v>
      </c>
      <c r="B2" t="s">
        <v>3</v>
      </c>
      <c r="C2">
        <v>0.25</v>
      </c>
      <c r="D2" t="s">
        <v>6</v>
      </c>
      <c r="H2">
        <v>4</v>
      </c>
      <c r="I2">
        <v>0.1</v>
      </c>
      <c r="J2">
        <v>0.55000000000000004</v>
      </c>
      <c r="K2">
        <f>Table1[[#This Row],[l]]/(2*Table1[[#This Row],[NA]])</f>
        <v>2.75</v>
      </c>
      <c r="L2">
        <v>2</v>
      </c>
      <c r="M2">
        <f>(Table1[[#This Row],[d]]*Table1[[#This Row],[Mo]]*Table1[[#This Row],[Ma]])/2</f>
        <v>11</v>
      </c>
      <c r="N2">
        <v>24000</v>
      </c>
      <c r="O2">
        <f>Table1[[#This Row],[sMin]]/Table1[[#This Row],[P]]</f>
        <v>2181.818181818182</v>
      </c>
      <c r="P2" s="2">
        <v>4.8</v>
      </c>
      <c r="Q2" s="2">
        <f>Table1[[#This Row],[P]]/Table1[[#This Row],[Sensor Resolution]]</f>
        <v>2.291666666666667</v>
      </c>
    </row>
    <row r="3" spans="1:17" x14ac:dyDescent="0.25">
      <c r="A3" t="s">
        <v>8</v>
      </c>
      <c r="B3" t="s">
        <v>5</v>
      </c>
      <c r="C3">
        <v>0.55000000000000004</v>
      </c>
      <c r="D3" t="s">
        <v>6</v>
      </c>
      <c r="H3">
        <v>10</v>
      </c>
      <c r="I3">
        <v>0.25</v>
      </c>
      <c r="J3">
        <v>0.55000000000000004</v>
      </c>
      <c r="K3">
        <f>Table1[[#This Row],[l]]/(2*Table1[[#This Row],[NA]])</f>
        <v>1.1000000000000001</v>
      </c>
      <c r="L3">
        <v>2</v>
      </c>
      <c r="M3">
        <f>(Table1[[#This Row],[d]]*Table1[[#This Row],[Mo]]*Table1[[#This Row],[Ma]])/2</f>
        <v>11</v>
      </c>
      <c r="N3">
        <v>24000</v>
      </c>
      <c r="O3">
        <f>Table1[[#This Row],[sMin]]/Table1[[#This Row],[P]]</f>
        <v>2181.818181818182</v>
      </c>
      <c r="P3" s="2">
        <v>4.8</v>
      </c>
      <c r="Q3" s="2">
        <f>Table1[[#This Row],[P]]/Table1[[#This Row],[Sensor Resolution]]</f>
        <v>2.291666666666667</v>
      </c>
    </row>
    <row r="4" spans="1:17" x14ac:dyDescent="0.25">
      <c r="A4" s="1" t="s">
        <v>7</v>
      </c>
      <c r="B4" t="s">
        <v>4</v>
      </c>
      <c r="C4">
        <f>C3/(2*C2)</f>
        <v>1.1000000000000001</v>
      </c>
      <c r="D4" t="s">
        <v>6</v>
      </c>
      <c r="H4">
        <v>40</v>
      </c>
      <c r="I4">
        <v>0.65</v>
      </c>
      <c r="J4">
        <v>0.55000000000000004</v>
      </c>
      <c r="K4">
        <f>Table1[[#This Row],[l]]/(2*Table1[[#This Row],[NA]])</f>
        <v>0.42307692307692307</v>
      </c>
      <c r="L4">
        <v>2</v>
      </c>
      <c r="M4">
        <f>(Table1[[#This Row],[d]]*Table1[[#This Row],[Mo]]*Table1[[#This Row],[Ma]])/2</f>
        <v>16.923076923076923</v>
      </c>
      <c r="N4">
        <v>24000</v>
      </c>
      <c r="O4">
        <f>Table1[[#This Row],[sMin]]/Table1[[#This Row],[P]]</f>
        <v>1418.1818181818182</v>
      </c>
      <c r="P4" s="2">
        <v>4.8</v>
      </c>
      <c r="Q4" s="2">
        <f>Table1[[#This Row],[P]]/Table1[[#This Row],[Sensor Resolution]]</f>
        <v>3.525641025641026</v>
      </c>
    </row>
    <row r="5" spans="1:17" x14ac:dyDescent="0.25">
      <c r="B5" s="1"/>
      <c r="H5">
        <v>100</v>
      </c>
      <c r="I5">
        <v>1.25</v>
      </c>
      <c r="J5">
        <v>0.55000000000000004</v>
      </c>
      <c r="K5">
        <f>Table1[[#This Row],[l]]/(2*Table1[[#This Row],[NA]])</f>
        <v>0.22000000000000003</v>
      </c>
      <c r="L5">
        <v>2</v>
      </c>
      <c r="M5">
        <f>(Table1[[#This Row],[d]]*Table1[[#This Row],[Mo]]*Table1[[#This Row],[Ma]])/2</f>
        <v>22.000000000000004</v>
      </c>
      <c r="N5">
        <v>24000</v>
      </c>
      <c r="O5">
        <f>Table1[[#This Row],[sMin]]/Table1[[#This Row],[P]]</f>
        <v>1090.9090909090908</v>
      </c>
      <c r="P5" s="2">
        <v>4.8</v>
      </c>
      <c r="Q5" s="2">
        <f>Table1[[#This Row],[P]]/Table1[[#This Row],[Sensor Resolution]]</f>
        <v>4.5833333333333339</v>
      </c>
    </row>
    <row r="6" spans="1:17" x14ac:dyDescent="0.25">
      <c r="A6" t="s">
        <v>9</v>
      </c>
      <c r="B6" s="1" t="s">
        <v>10</v>
      </c>
      <c r="C6">
        <f>(C4*C1*C7)/2</f>
        <v>11</v>
      </c>
      <c r="H6">
        <v>0.7</v>
      </c>
      <c r="I6">
        <v>0.03</v>
      </c>
      <c r="J6">
        <v>0.55000000000000004</v>
      </c>
      <c r="K6" s="2">
        <f>Table1[[#This Row],[l]]/(2*Table1[[#This Row],[NA]])</f>
        <v>9.1666666666666679</v>
      </c>
      <c r="L6">
        <v>2</v>
      </c>
      <c r="M6" s="2">
        <f>(Table1[[#This Row],[d]]*Table1[[#This Row],[Mo]]*Table1[[#This Row],[Ma]])/2</f>
        <v>6.416666666666667</v>
      </c>
      <c r="N6">
        <v>24000</v>
      </c>
      <c r="O6" s="2">
        <f>Table1[[#This Row],[sMin]]/Table1[[#This Row],[P]]</f>
        <v>3740.2597402597403</v>
      </c>
      <c r="P6" s="2">
        <v>4.8</v>
      </c>
      <c r="Q6" s="2">
        <f>Table1[[#This Row],[P]]/Table1[[#This Row],[Sensor Resolution]]</f>
        <v>1.3368055555555556</v>
      </c>
    </row>
    <row r="7" spans="1:17" x14ac:dyDescent="0.25">
      <c r="A7" t="s">
        <v>11</v>
      </c>
      <c r="B7" t="s">
        <v>12</v>
      </c>
      <c r="C7">
        <v>2</v>
      </c>
      <c r="H7">
        <v>4.5</v>
      </c>
      <c r="I7">
        <v>0.12</v>
      </c>
      <c r="J7">
        <v>0.55000000000000004</v>
      </c>
      <c r="K7" s="2">
        <f>Table1[[#This Row],[l]]/(2*Table1[[#This Row],[NA]])</f>
        <v>2.291666666666667</v>
      </c>
      <c r="L7">
        <v>2</v>
      </c>
      <c r="M7" s="2">
        <f>(Table1[[#This Row],[d]]*Table1[[#This Row],[Mo]]*Table1[[#This Row],[Ma]])/2</f>
        <v>10.312500000000002</v>
      </c>
      <c r="N7">
        <v>24000</v>
      </c>
      <c r="O7" s="2">
        <f>Table1[[#This Row],[sMin]]/Table1[[#This Row],[P]]</f>
        <v>2327.272727272727</v>
      </c>
      <c r="P7" s="2">
        <v>4.8</v>
      </c>
      <c r="Q7" s="2">
        <f>Table1[[#This Row],[P]]/Table1[[#This Row],[Sensor Resolution]]</f>
        <v>2.1484375000000004</v>
      </c>
    </row>
    <row r="8" spans="1:17" x14ac:dyDescent="0.25">
      <c r="H8">
        <v>0.67</v>
      </c>
      <c r="I8">
        <v>0.03</v>
      </c>
      <c r="J8">
        <v>0.55000000000000004</v>
      </c>
      <c r="K8" s="2">
        <f>Table1[[#This Row],[l]]/(2*Table1[[#This Row],[NA]])</f>
        <v>9.1666666666666679</v>
      </c>
      <c r="L8">
        <v>2</v>
      </c>
      <c r="M8" s="2">
        <f>(Table1[[#This Row],[d]]*Table1[[#This Row],[Mo]]*Table1[[#This Row],[Ma]])/2</f>
        <v>6.1416666666666675</v>
      </c>
      <c r="N8">
        <v>24000</v>
      </c>
      <c r="O8" s="2">
        <f>Table1[[#This Row],[sMin]]/Table1[[#This Row],[P]]</f>
        <v>3907.7340569877879</v>
      </c>
      <c r="P8" s="2">
        <v>4.8</v>
      </c>
      <c r="Q8" s="2">
        <f>Table1[[#This Row],[P]]/Table1[[#This Row],[Sensor Resolution]]</f>
        <v>1.2795138888888891</v>
      </c>
    </row>
    <row r="9" spans="1:17" x14ac:dyDescent="0.25">
      <c r="A9" t="s">
        <v>16</v>
      </c>
      <c r="C9" t="s">
        <v>25</v>
      </c>
      <c r="H9">
        <v>4.5</v>
      </c>
      <c r="I9">
        <v>0.12</v>
      </c>
      <c r="J9">
        <v>0.55000000000000004</v>
      </c>
      <c r="K9" s="2">
        <f>Table1[[#This Row],[l]]/(2*Table1[[#This Row],[NA]])</f>
        <v>2.291666666666667</v>
      </c>
      <c r="L9">
        <v>2</v>
      </c>
      <c r="M9" s="2">
        <f>(Table1[[#This Row],[d]]*Table1[[#This Row],[Mo]]*Table1[[#This Row],[Ma]])/2</f>
        <v>10.312500000000002</v>
      </c>
      <c r="N9">
        <v>24000</v>
      </c>
      <c r="O9" s="2">
        <f>Table1[[#This Row],[sMin]]/Table1[[#This Row],[P]]</f>
        <v>2327.272727272727</v>
      </c>
      <c r="P9" s="2">
        <v>4.8</v>
      </c>
      <c r="Q9" s="2">
        <f>Table1[[#This Row],[P]]/Table1[[#This Row],[Sensor Resolution]]</f>
        <v>2.1484375000000004</v>
      </c>
    </row>
    <row r="10" spans="1:17" x14ac:dyDescent="0.25">
      <c r="A10" t="s">
        <v>19</v>
      </c>
      <c r="B10" t="s">
        <v>17</v>
      </c>
      <c r="C10">
        <v>7360</v>
      </c>
      <c r="E10">
        <f>E12/C10</f>
        <v>4.8777173913043477</v>
      </c>
      <c r="F10" t="s">
        <v>6</v>
      </c>
    </row>
    <row r="11" spans="1:17" x14ac:dyDescent="0.25">
      <c r="A11" t="s">
        <v>20</v>
      </c>
      <c r="B11" t="s">
        <v>18</v>
      </c>
      <c r="C11">
        <v>4912</v>
      </c>
      <c r="E11">
        <f>E13/C11</f>
        <v>4.8859934853420199</v>
      </c>
      <c r="F11" t="s">
        <v>6</v>
      </c>
    </row>
    <row r="12" spans="1:17" x14ac:dyDescent="0.25">
      <c r="A12" t="s">
        <v>23</v>
      </c>
      <c r="B12" t="s">
        <v>21</v>
      </c>
      <c r="C12">
        <v>35.9</v>
      </c>
      <c r="D12" t="s">
        <v>26</v>
      </c>
      <c r="E12">
        <f>C12*1000</f>
        <v>35900</v>
      </c>
      <c r="F12" t="s">
        <v>6</v>
      </c>
    </row>
    <row r="13" spans="1:17" x14ac:dyDescent="0.25">
      <c r="A13" t="s">
        <v>24</v>
      </c>
      <c r="B13" t="s">
        <v>22</v>
      </c>
      <c r="C13">
        <v>24</v>
      </c>
      <c r="D13" t="s">
        <v>26</v>
      </c>
      <c r="E13">
        <f>C13*1000</f>
        <v>24000</v>
      </c>
      <c r="F13" t="s">
        <v>6</v>
      </c>
    </row>
    <row r="14" spans="1:17" x14ac:dyDescent="0.25">
      <c r="B14" t="s">
        <v>28</v>
      </c>
      <c r="C14">
        <f>MIN(C12:C13)</f>
        <v>24</v>
      </c>
      <c r="D14" t="s">
        <v>26</v>
      </c>
      <c r="E14">
        <f>MIN(E12:E13)</f>
        <v>24000</v>
      </c>
      <c r="F14" t="s">
        <v>6</v>
      </c>
    </row>
    <row r="15" spans="1:17" x14ac:dyDescent="0.25">
      <c r="B15" t="s">
        <v>30</v>
      </c>
      <c r="C15">
        <f>(C10*C11)/1000/1000</f>
        <v>36.152320000000003</v>
      </c>
    </row>
    <row r="17" spans="1:6" x14ac:dyDescent="0.25">
      <c r="C17" t="s">
        <v>29</v>
      </c>
    </row>
    <row r="18" spans="1:6" x14ac:dyDescent="0.25">
      <c r="A18" t="s">
        <v>19</v>
      </c>
      <c r="B18" t="s">
        <v>17</v>
      </c>
      <c r="C18">
        <v>8256</v>
      </c>
      <c r="E18">
        <f>E20/C18</f>
        <v>4.3483527131782944</v>
      </c>
      <c r="F18" t="s">
        <v>6</v>
      </c>
    </row>
    <row r="19" spans="1:6" x14ac:dyDescent="0.25">
      <c r="A19" t="s">
        <v>20</v>
      </c>
      <c r="B19" t="s">
        <v>18</v>
      </c>
      <c r="C19">
        <v>5504</v>
      </c>
      <c r="E19">
        <f>E21/C19</f>
        <v>4.3422965116279073</v>
      </c>
      <c r="F19" t="s">
        <v>6</v>
      </c>
    </row>
    <row r="20" spans="1:6" x14ac:dyDescent="0.25">
      <c r="A20" t="s">
        <v>23</v>
      </c>
      <c r="B20" t="s">
        <v>21</v>
      </c>
      <c r="C20">
        <v>35.9</v>
      </c>
      <c r="D20" t="s">
        <v>26</v>
      </c>
      <c r="E20">
        <f>C20*1000</f>
        <v>35900</v>
      </c>
      <c r="F20" t="s">
        <v>6</v>
      </c>
    </row>
    <row r="21" spans="1:6" x14ac:dyDescent="0.25">
      <c r="A21" t="s">
        <v>24</v>
      </c>
      <c r="B21" t="s">
        <v>22</v>
      </c>
      <c r="C21">
        <v>23.9</v>
      </c>
      <c r="D21" t="s">
        <v>26</v>
      </c>
      <c r="E21">
        <f>C21*1000</f>
        <v>23900</v>
      </c>
      <c r="F21" t="s">
        <v>6</v>
      </c>
    </row>
    <row r="22" spans="1:6" x14ac:dyDescent="0.25">
      <c r="B22" t="s">
        <v>28</v>
      </c>
      <c r="C22">
        <f>MIN(C20:C21)</f>
        <v>23.9</v>
      </c>
      <c r="D22" t="s">
        <v>26</v>
      </c>
      <c r="E22">
        <f>MIN(E20:E21)</f>
        <v>23900</v>
      </c>
      <c r="F22" t="s">
        <v>6</v>
      </c>
    </row>
    <row r="23" spans="1:6" x14ac:dyDescent="0.25">
      <c r="B23" t="s">
        <v>30</v>
      </c>
      <c r="C23">
        <f>(C18*C19)/1000/1000</f>
        <v>45.441023999999999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E-Risk Services,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2025-05-19T14:04:28Z</dcterms:created>
  <dcterms:modified xsi:type="dcterms:W3CDTF">2025-05-19T16:52:57Z</dcterms:modified>
</cp:coreProperties>
</file>